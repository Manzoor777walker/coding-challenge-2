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91956\Desktop\"/>
    </mc:Choice>
  </mc:AlternateContent>
  <xr:revisionPtr revIDLastSave="0" documentId="13_ncr:1_{5EABA0F4-B8B0-45F9-AA3A-FAD7FB42C812}" xr6:coauthVersionLast="47" xr6:coauthVersionMax="47" xr10:uidLastSave="{00000000-0000-0000-0000-000000000000}"/>
  <bookViews>
    <workbookView xWindow="-108" yWindow="-108" windowWidth="23256" windowHeight="12456" activeTab="3" xr2:uid="{6B96EFD3-8E53-40DE-B06F-CE1638911F09}"/>
  </bookViews>
  <sheets>
    <sheet name="Sheet1" sheetId="1" r:id="rId1"/>
    <sheet name="Sheet2" sheetId="2" r:id="rId2"/>
    <sheet name="solutions" sheetId="6" r:id="rId3"/>
    <sheet name="Final data" sheetId="7" r:id="rId4"/>
    <sheet name="Inconsistent data"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6" l="1"/>
  <c r="E45" i="6" a="1"/>
  <c r="E45" i="6" s="1"/>
  <c r="E44" i="6"/>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F16" i="6"/>
  <c r="F17" i="6"/>
  <c r="F18" i="6"/>
  <c r="F19" i="6"/>
  <c r="F20" i="6"/>
  <c r="F21" i="6"/>
  <c r="F22" i="6"/>
  <c r="F23" i="6"/>
  <c r="F24" i="6"/>
  <c r="F25" i="6"/>
  <c r="F26" i="6"/>
  <c r="F27" i="6"/>
  <c r="F28" i="6"/>
  <c r="F29" i="6"/>
  <c r="F30" i="6"/>
  <c r="F31" i="6"/>
  <c r="F32" i="6"/>
  <c r="F33" i="6"/>
  <c r="F34" i="6"/>
  <c r="F35" i="6"/>
  <c r="F36" i="6"/>
  <c r="F37" i="6"/>
  <c r="F38" i="6"/>
  <c r="F39" i="6"/>
  <c r="F40" i="6"/>
  <c r="F41" i="6"/>
  <c r="F3" i="6"/>
  <c r="F4" i="6"/>
  <c r="F5" i="6"/>
  <c r="F6" i="6"/>
  <c r="F7" i="6"/>
  <c r="F8" i="6"/>
  <c r="F9" i="6"/>
  <c r="F10" i="6"/>
  <c r="F11" i="6"/>
  <c r="F12" i="6"/>
  <c r="F13" i="6"/>
  <c r="F14" i="6"/>
  <c r="F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AA17A-6D8F-4AE2-B275-4A68263F3991}"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4AA6FF09-F090-4E61-B79B-FF5FA7ACB406}"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 xr16:uid="{078F610E-8FE1-42A6-B111-6BF59BE6C31B}"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<sst xmlns="http://schemas.openxmlformats.org/spreadsheetml/2006/main" count="703" uniqueCount="83">
  <si>
    <t>Record_ID</t>
  </si>
  <si>
    <t>Region_Product_Code</t>
  </si>
  <si>
    <t>Product_Name</t>
  </si>
  <si>
    <t>Sales_Amount</t>
  </si>
  <si>
    <t>Units_Sold</t>
  </si>
  <si>
    <t>Discount</t>
  </si>
  <si>
    <t>Salesperson</t>
  </si>
  <si>
    <t>Status</t>
  </si>
  <si>
    <t>North_P001</t>
  </si>
  <si>
    <t>Anil</t>
  </si>
  <si>
    <t>Valid</t>
  </si>
  <si>
    <t>north_P001</t>
  </si>
  <si>
    <t>South_P002</t>
  </si>
  <si>
    <t>Beena</t>
  </si>
  <si>
    <t>SOUTH_P002</t>
  </si>
  <si>
    <t>East_P003</t>
  </si>
  <si>
    <t>Chris</t>
  </si>
  <si>
    <t>West_P004</t>
  </si>
  <si>
    <t>Keyboard</t>
  </si>
  <si>
    <t>Divya</t>
  </si>
  <si>
    <t>North_P005</t>
  </si>
  <si>
    <t>South_P006</t>
  </si>
  <si>
    <t>Printer</t>
  </si>
  <si>
    <t>$22,500</t>
  </si>
  <si>
    <t>East_P007</t>
  </si>
  <si>
    <t>West_P008</t>
  </si>
  <si>
    <t>Webcam</t>
  </si>
  <si>
    <t>North_P009</t>
  </si>
  <si>
    <t>Tablet</t>
  </si>
  <si>
    <t>South_P010</t>
  </si>
  <si>
    <t>Headphones</t>
  </si>
  <si>
    <t>$4,500</t>
  </si>
  <si>
    <t>Head</t>
  </si>
  <si>
    <t>Duplicate</t>
  </si>
  <si>
    <t>North_P011</t>
  </si>
  <si>
    <t>South_P012</t>
  </si>
  <si>
    <t>Desk</t>
  </si>
  <si>
    <t>East_P013</t>
  </si>
  <si>
    <t>$8,000</t>
  </si>
  <si>
    <t>West_P014</t>
  </si>
  <si>
    <t>North_P015</t>
  </si>
  <si>
    <t>SmartPhone</t>
  </si>
  <si>
    <t>South_P016</t>
  </si>
  <si>
    <t>Projector</t>
  </si>
  <si>
    <t>East_P017</t>
  </si>
  <si>
    <t>PowerBank</t>
  </si>
  <si>
    <t>West_P018</t>
  </si>
  <si>
    <t>Router</t>
  </si>
  <si>
    <t>Laptop Pro</t>
  </si>
  <si>
    <t>laptoppro</t>
  </si>
  <si>
    <t>OfficeChair</t>
  </si>
  <si>
    <t>WirelessMouse</t>
  </si>
  <si>
    <t>wirelessMouse</t>
  </si>
  <si>
    <t>USBCable</t>
  </si>
  <si>
    <t>WebCam</t>
  </si>
  <si>
    <t>LaptopPro</t>
  </si>
  <si>
    <t>GamingLaptop</t>
  </si>
  <si>
    <t>SSD1TB</t>
  </si>
  <si>
    <t>OfficeDesk</t>
  </si>
  <si>
    <t>Monitor24inch</t>
  </si>
  <si>
    <t>Monitor24Inch</t>
  </si>
  <si>
    <t>Question:
A sales dataset is prepared manually by multiple teams and shows the following problems:
● Inconsistent product names due to spacing, casing, and spelling differences
● Multiple columns contain merged text values (e.g., Region_Product_Code)
● Duplicate records exist, but removing them incorrectly affects totals
● Some numeric fields contain text and extra symbols
● The final report requires filtered summary statistics (mean and standard deviation)
for only valid records
Describe the end-to-end approach you would use in Excel to clean, standardize, split,
validate, and analyze this dataset.
Explain how you would prevent future data issues and ensure the results remain accurate
when new data is added.</t>
  </si>
  <si>
    <t>Instruction</t>
  </si>
  <si>
    <t>Laptop pro</t>
  </si>
  <si>
    <t>Office chair</t>
  </si>
  <si>
    <t>Wireless mouse</t>
  </si>
  <si>
    <t>Monitor 24 Inch</t>
  </si>
  <si>
    <t>Usb cable</t>
  </si>
  <si>
    <t>Head phones</t>
  </si>
  <si>
    <t>Gaming laptop</t>
  </si>
  <si>
    <t>Office desk</t>
  </si>
  <si>
    <t>Powerbank</t>
  </si>
  <si>
    <t>hlo2000</t>
  </si>
  <si>
    <t>hi6500</t>
  </si>
  <si>
    <t>SSSD 1 TB</t>
  </si>
  <si>
    <t>Smart phone</t>
  </si>
  <si>
    <t>mean/std</t>
  </si>
  <si>
    <t>Custom_amount</t>
  </si>
  <si>
    <t>mean()</t>
  </si>
  <si>
    <t>Custom modified</t>
  </si>
  <si>
    <t>std sample</t>
  </si>
  <si>
    <t>Custom_Saleamount</t>
  </si>
  <si>
    <r>
      <rPr>
        <b/>
        <i/>
        <u/>
        <sz val="12"/>
        <color theme="4" tint="-0.249977111117893"/>
        <rFont val="Aptos Narrow"/>
        <family val="2"/>
        <scheme val="minor"/>
      </rPr>
      <t xml:space="preserve">Brief solution about the data set  
</t>
    </r>
    <r>
      <rPr>
        <sz val="12"/>
        <color theme="4" tint="-0.249977111117893"/>
        <rFont val="Aptos Narrow"/>
        <family val="2"/>
        <scheme val="minor"/>
      </rPr>
      <t xml:space="preserve">A sales dataset is prepared manually by multiple teams and shows the following problems:
● Inconsistent product names due to spacing, casing, and spelling differences
● Multiple columns contain merged text values (e.g., Region_Product_Code)
● Duplicate records exist, but removing them incorrectly affects totals
● Some numeric fields contain text and extra symbols
● The final report requires filtered summary statistics (mean and standard deviation)
for only valid records
● using power query tool in excel 
        #Each column in the dataset has been assigned according to its specific data types.
        #Fixing the inconsistent data by using Trim,clean function
        #Assign the text data starting with capitalize by using "capitalize each toggle case " option.
        #Error values change into null ,miss spelling typos,symbols etc... by using replace value method.
        #Remove duplicate by using remove duplicate function.
       #After Data cleaning load the data to excel worksheet and create custom sales amount column with missing values for mentioning mean and standard deviation.
                                                                   by using this formula to find the mean of the mentioned above the data set {=IF(ISBLANK(E2),AVERAGE($E$2:$E$41),E2)} and  {=STDEV.S(FILTER(E2:E41,J2:J41="Valid"))}
Explain how you would prevent future data issues and ensure the results remain accurate
when new data is added.
                                      #To prevent future data issues and maintain accuracy as new data is added, I implemented automated data validation rules to filter out invalid records and duplicate entries prior to analysis.
</t>
    </r>
    <r>
      <rPr>
        <sz val="16"/>
        <color theme="4" tint="-0.249977111117893"/>
        <rFont val="Aptos Narrow"/>
        <family val="2"/>
        <scheme val="minor"/>
      </rPr>
      <t xml:space="preserve">        
</t>
    </r>
    <r>
      <rPr>
        <b/>
        <i/>
        <u/>
        <sz val="16"/>
        <color theme="4" tint="-0.249977111117893"/>
        <rFont val="Aptos Narrow"/>
        <family val="2"/>
        <scheme val="minor"/>
      </rPr>
      <t xml:space="preserve">
</t>
    </r>
    <r>
      <rPr>
        <sz val="16"/>
        <color theme="4" tint="-0.249977111117893"/>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</si>
</sst>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8" x14ac:knownFonts="1">
    <font>
      <sz val="11"/>
      <color theme="1"/>
      <name val="Aptos Narrow"/>
      <family val="2"/>
      <scheme val="minor"/>
    </font>
    <font>
      <sz val="16"/>
      <color theme="1"/>
      <name val="Aptos Narrow"/>
      <family val="2"/>
      <scheme val="minor"/>
    </font>
    <font>
      <sz val="16"/>
      <color theme="4" tint="-0.249977111117893"/>
      <name val="Aptos Narrow"/>
      <family val="2"/>
      <scheme val="minor"/>
    </font>
    <font>
      <b/>
      <sz val="11"/>
      <color theme="0"/>
      <name val="Aptos Narrow"/>
      <family val="2"/>
      <scheme val="minor"/>
    </font>
    <font>
      <sz val="8"/>
      <name val="Aptos Narrow"/>
      <family val="2"/>
      <scheme val="minor"/>
    </font>
    <font>
      <b/>
      <i/>
      <u/>
      <sz val="16"/>
      <color theme="4" tint="-0.249977111117893"/>
      <name val="Aptos Narrow"/>
      <family val="2"/>
      <scheme val="minor"/>
    </font>
    <font>
      <sz val="12"/>
      <color theme="4" tint="-0.249977111117893"/>
      <name val="Aptos Narrow"/>
      <family val="2"/>
      <scheme val="minor"/>
    </font>
    <font>
      <b/>
      <i/>
      <u/>
      <sz val="12"/>
      <color theme="4" tint="-0.249977111117893"/>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58">
    <xf numFmtId="0" fontId="0" fillId="0" borderId="0" xfId="0"/>
    <xf numFmtId="6" fontId="0" fillId="0" borderId="0" xfId="0" applyNumberFormat="1"/>
    <xf numFmtId="9" fontId="0" fillId="0" borderId="0" xfId="0" applyNumberFormat="1"/>
    <xf numFmtId="3" fontId="0" fillId="0" borderId="0" xfId="0" applyNumberFormat="1"/>
    <xf numFmtId="0" fontId="0" fillId="0" borderId="1" xfId="0" applyBorder="1"/>
    <xf numFmtId="3" fontId="0" fillId="0" borderId="1" xfId="0" applyNumberFormat="1" applyBorder="1"/>
    <xf numFmtId="6" fontId="0" fillId="0" borderId="1" xfId="0" applyNumberFormat="1" applyBorder="1"/>
    <xf numFmtId="9" fontId="0" fillId="0" borderId="1" xfId="0" applyNumberFormat="1" applyBorder="1"/>
    <xf numFmtId="0" fontId="0" fillId="0" borderId="2" xfId="0" applyBorder="1"/>
    <xf numFmtId="9" fontId="0" fillId="0" borderId="3" xfId="0" applyNumberFormat="1"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7" xfId="0" applyBorder="1"/>
    <xf numFmtId="0" fontId="0" fillId="0" borderId="8" xfId="0" applyBorder="1"/>
    <xf numFmtId="6" fontId="0" fillId="0" borderId="8" xfId="0" applyNumberFormat="1" applyBorder="1"/>
    <xf numFmtId="9" fontId="0" fillId="0" borderId="8" xfId="0" applyNumberFormat="1" applyBorder="1"/>
    <xf numFmtId="0" fontId="0" fillId="0" borderId="9" xfId="0" applyBorder="1"/>
    <xf numFmtId="0" fontId="0" fillId="0" borderId="1" xfId="0" applyBorder="1" applyAlignment="1">
      <alignment horizontal="left" vertical="top" wrapText="1"/>
    </xf>
    <xf numFmtId="0" fontId="0" fillId="0" borderId="1" xfId="0" applyBorder="1" applyAlignment="1">
      <alignment horizontal="left" vertical="top"/>
    </xf>
    <xf numFmtId="0" fontId="2" fillId="0" borderId="0" xfId="0" applyFont="1" applyAlignment="1">
      <alignment horizontal="center"/>
    </xf>
    <xf numFmtId="0" fontId="1" fillId="0" borderId="0" xfId="0" applyFont="1" applyAlignment="1">
      <alignment horizontal="center"/>
    </xf>
    <xf numFmtId="0" fontId="0" fillId="0" borderId="10" xfId="0" applyFont="1" applyBorder="1"/>
    <xf numFmtId="0" fontId="0" fillId="0" borderId="11" xfId="0" applyFont="1" applyBorder="1"/>
    <xf numFmtId="0" fontId="0" fillId="0" borderId="0" xfId="0" applyAlignment="1">
      <alignment vertical="top"/>
    </xf>
    <xf numFmtId="0" fontId="3" fillId="3" borderId="13" xfId="0" applyFont="1" applyFill="1" applyBorder="1"/>
    <xf numFmtId="0" fontId="3" fillId="3" borderId="14" xfId="0" applyFont="1" applyFill="1" applyBorder="1"/>
    <xf numFmtId="0" fontId="3" fillId="3" borderId="15" xfId="0" applyFont="1" applyFill="1" applyBorder="1"/>
    <xf numFmtId="0" fontId="0" fillId="4" borderId="13" xfId="0" applyFont="1" applyFill="1" applyBorder="1"/>
    <xf numFmtId="0" fontId="0" fillId="4" borderId="14" xfId="0" applyNumberFormat="1" applyFont="1" applyFill="1" applyBorder="1"/>
    <xf numFmtId="0" fontId="0" fillId="4" borderId="14" xfId="0" applyFont="1" applyFill="1" applyBorder="1"/>
    <xf numFmtId="0" fontId="0" fillId="4" borderId="15" xfId="0" applyNumberFormat="1" applyFont="1" applyFill="1" applyBorder="1"/>
    <xf numFmtId="0" fontId="0" fillId="0" borderId="13" xfId="0" applyFont="1" applyBorder="1"/>
    <xf numFmtId="0" fontId="0" fillId="0" borderId="14" xfId="0" applyNumberFormat="1" applyFont="1" applyBorder="1"/>
    <xf numFmtId="0" fontId="0" fillId="0" borderId="14" xfId="0" applyFont="1" applyBorder="1"/>
    <xf numFmtId="0" fontId="0" fillId="0" borderId="15" xfId="0" applyNumberFormat="1" applyFont="1" applyBorder="1"/>
    <xf numFmtId="0" fontId="0" fillId="0" borderId="11" xfId="0" applyNumberFormat="1" applyFont="1" applyBorder="1"/>
    <xf numFmtId="0" fontId="0" fillId="0" borderId="12" xfId="0" applyNumberFormat="1" applyFont="1" applyBorder="1"/>
    <xf numFmtId="0" fontId="0" fillId="5" borderId="1" xfId="0" applyFill="1" applyBorder="1" applyAlignment="1">
      <alignment vertical="top"/>
    </xf>
    <xf numFmtId="0" fontId="3" fillId="3" borderId="4" xfId="0" applyFont="1" applyFill="1" applyBorder="1"/>
    <xf numFmtId="0" fontId="3" fillId="3" borderId="5" xfId="0" applyFont="1" applyFill="1" applyBorder="1"/>
    <xf numFmtId="0" fontId="3" fillId="3" borderId="6" xfId="0" applyFont="1" applyFill="1" applyBorder="1"/>
    <xf numFmtId="0" fontId="0" fillId="4" borderId="2" xfId="0" applyFont="1" applyFill="1" applyBorder="1"/>
    <xf numFmtId="0" fontId="0" fillId="4" borderId="1" xfId="0" applyNumberFormat="1" applyFont="1" applyFill="1" applyBorder="1"/>
    <xf numFmtId="0" fontId="0" fillId="4" borderId="1" xfId="0" applyFont="1" applyFill="1" applyBorder="1"/>
    <xf numFmtId="0" fontId="0" fillId="4" borderId="3" xfId="0" applyNumberFormat="1" applyFont="1" applyFill="1" applyBorder="1"/>
    <xf numFmtId="0" fontId="0" fillId="0" borderId="2" xfId="0" applyFont="1" applyBorder="1"/>
    <xf numFmtId="0" fontId="0" fillId="0" borderId="1" xfId="0" applyNumberFormat="1" applyFont="1" applyBorder="1"/>
    <xf numFmtId="0" fontId="0" fillId="0" borderId="1" xfId="0" applyFont="1" applyBorder="1"/>
    <xf numFmtId="0" fontId="0" fillId="0" borderId="3" xfId="0" applyNumberFormat="1" applyFont="1" applyBorder="1"/>
    <xf numFmtId="0" fontId="0" fillId="0" borderId="7" xfId="0" applyFont="1" applyBorder="1"/>
    <xf numFmtId="0" fontId="0" fillId="0" borderId="8" xfId="0" applyNumberFormat="1" applyFont="1" applyBorder="1"/>
    <xf numFmtId="0" fontId="0" fillId="0" borderId="8" xfId="0" applyFont="1" applyBorder="1"/>
    <xf numFmtId="0" fontId="0" fillId="4" borderId="8" xfId="0" applyFont="1" applyFill="1" applyBorder="1"/>
    <xf numFmtId="0" fontId="0" fillId="0" borderId="9" xfId="0" applyNumberFormat="1" applyFont="1" applyBorder="1"/>
    <xf numFmtId="0" fontId="5" fillId="5" borderId="0" xfId="0" applyFont="1" applyFill="1" applyAlignment="1">
      <alignment horizontal="left" vertical="top" wrapText="1"/>
    </xf>
    <xf numFmtId="0" fontId="0" fillId="5" borderId="0" xfId="0" applyFill="1" applyAlignment="1">
      <alignment horizontal="left" vertical="top"/>
    </xf>
  </cellXfs>
  <cellStyles count="1">
    <cellStyle name="Normal" xfId="0" builtinId="0"/>
  </cellStyles>
  <dxfs count="27">
    <dxf>
      <font>
        <b/>
        <i val="0"/>
        <strike val="0"/>
        <condense val="0"/>
        <extend val="0"/>
        <outline val="0"/>
        <shadow val="0"/>
        <u val="none"/>
        <vertAlign val="baseline"/>
        <sz val="11"/>
        <color theme="0"/>
        <name val="Aptos Narrow"/>
        <family val="2"/>
        <scheme val="minor"/>
      </font>
      <fill>
        <patternFill patternType="solid">
          <fgColor theme="9"/>
          <bgColor theme="9"/>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10" formatCode="&quot;₹&quot;\ #,##0;[Red]&quot;₹&quot;\ \-#,##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0" formatCode="&quot;₹&quot;\ #,##0;[Red]&quot;₹&quot;\ \-#,##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FFC0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2969EE-3E9B-4A44-AFD7-523B313BE7B2}" name="Table5" displayName="Table5" ref="A1:J41" totalsRowShown="0" headerRowDxfId="0" headerRowBorderDxfId="12" tableBorderDxfId="13" totalsRowBorderDxfId="11">
  <autoFilter ref="A1:J41" xr:uid="{6E2969EE-3E9B-4A44-AFD7-523B313BE7B2}"/>
  <tableColumns count="10">
    <tableColumn id="1" xr3:uid="{D204E268-15B7-4C56-8B21-5E845696C46B}" name="Record_ID" dataDxfId="10"/>
    <tableColumn id="2" xr3:uid="{6B357043-2226-4737-A3C7-FA70627DDFD9}" name="Region_Product_Code" dataDxfId="9"/>
    <tableColumn id="3" xr3:uid="{6321443D-A4E3-4E3D-AD60-DC4969670B45}" name="Product_Name" dataDxfId="8"/>
    <tableColumn id="4" xr3:uid="{A96C5DF1-90D2-45FD-AC3A-411B8132F176}" name="Sales_Amount" dataDxfId="7"/>
    <tableColumn id="5" xr3:uid="{96701549-FAE8-4ACB-B223-B51E9DF0FF63}" name="Custom_Saleamount" dataDxfId="6"/>
    <tableColumn id="6" xr3:uid="{A76A0D01-46F1-4542-9A8F-38E9A7EF020F}" name="Custom modified" dataDxfId="5">
      <calculatedColumnFormula>IF(ISBLANK(E2),AVERAGE($E$2:$E$41),E2)</calculatedColumnFormula>
    </tableColumn>
    <tableColumn id="7" xr3:uid="{68152797-BE84-471F-AA56-34F2FBC8E3B7}" name="Units_Sold" dataDxfId="4"/>
    <tableColumn id="8" xr3:uid="{BC22D7C5-0A1E-4306-99FB-4A8949C0AD5A}" name="Discount" dataDxfId="3"/>
    <tableColumn id="9" xr3:uid="{232C72DD-0694-46CF-B591-9BA908AAEFED}" name="Salesperson" dataDxfId="2"/>
    <tableColumn id="10" xr3:uid="{608442E5-9CBE-49A9-8C9C-760598A14D64}" name="Status" dataDxfId="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ADFDE2-4E0D-4E2E-8AE2-1189E6141AEE}" name="Table1" displayName="Table1" ref="A1:I42" totalsRowShown="0" headerRowDxfId="26" headerRowBorderDxfId="25" tableBorderDxfId="24" totalsRowBorderDxfId="23">
  <autoFilter ref="A1:I42" xr:uid="{B5ADFDE2-4E0D-4E2E-8AE2-1189E6141AEE}"/>
  <tableColumns count="9">
    <tableColumn id="1" xr3:uid="{9125BE12-9451-42A7-B723-CFB9E30DB383}" name="Record_ID" dataDxfId="22"/>
    <tableColumn id="2" xr3:uid="{E3F55AF5-48AA-4F40-8354-3405FD62A9E2}" name="Region_Product_Code" dataDxfId="21"/>
    <tableColumn id="3" xr3:uid="{A6F26E90-2D15-4444-B995-80C181D658B2}" name="Product_Name" dataDxfId="20"/>
    <tableColumn id="4" xr3:uid="{A5EF0837-9B33-41F9-ACAA-BD2E962CFF6B}" name="Sales_Amount" dataDxfId="19"/>
    <tableColumn id="9" xr3:uid="{AC5338AB-A545-4760-B140-61C2550661DC}" name="mean/std" dataDxfId="14"/>
    <tableColumn id="5" xr3:uid="{E047257D-78B3-40C5-B7B7-34784F9182D5}" name="Units_Sold" dataDxfId="18"/>
    <tableColumn id="6" xr3:uid="{B83E37E6-9ED5-4EBE-AFC4-CDCEA1C7F82D}" name="Discount" dataDxfId="17"/>
    <tableColumn id="7" xr3:uid="{F197AAC9-F3F3-427D-8BB6-DD9C5B78CFA7}" name="Salesperson" dataDxfId="16"/>
    <tableColumn id="8" xr3:uid="{E0A465E1-CE0F-4B36-A1BC-52A8E24F5E87}" name="Status"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5016-0459-4F18-B66D-4FA09F97504D}">
  <dimension ref="A1:H42"/>
  <sheetViews>
    <sheetView workbookViewId="0">
      <selection sqref="A1:H42"/>
    </sheetView>
  </sheetViews>
  <sheetFormatPr defaultColWidth="10.88671875" defaultRowHeight="14.4" x14ac:dyDescent="0.3"/>
  <cols>
    <col min="3" max="3" width="13.88671875" customWidth="1"/>
    <col min="4" max="4" width="19.6640625" customWidth="1"/>
  </cols>
  <sheetData>
    <row r="1" spans="1:8" x14ac:dyDescent="0.3">
      <c r="A1" t="s">
        <v>0</v>
      </c>
      <c r="B1" t="s">
        <v>1</v>
      </c>
      <c r="C1" t="s">
        <v>2</v>
      </c>
      <c r="D1" t="s">
        <v>3</v>
      </c>
      <c r="E1" t="s">
        <v>4</v>
      </c>
      <c r="F1" t="s">
        <v>5</v>
      </c>
      <c r="G1" t="s">
        <v>6</v>
      </c>
      <c r="H1" t="s">
        <v>7</v>
      </c>
    </row>
    <row r="2" spans="1:8" x14ac:dyDescent="0.3">
      <c r="A2">
        <v>1001</v>
      </c>
      <c r="B2" t="s">
        <v>8</v>
      </c>
      <c r="C2" t="s">
        <v>48</v>
      </c>
      <c r="D2" s="3">
        <v>75000</v>
      </c>
      <c r="E2" s="1">
        <v>5</v>
      </c>
      <c r="F2" s="2">
        <v>0.1</v>
      </c>
      <c r="G2" t="s">
        <v>9</v>
      </c>
      <c r="H2" s="2" t="s">
        <v>10</v>
      </c>
    </row>
    <row r="3" spans="1:8" x14ac:dyDescent="0.3">
      <c r="A3">
        <v>1002</v>
      </c>
      <c r="B3" t="s">
        <v>11</v>
      </c>
      <c r="C3" t="s">
        <v>49</v>
      </c>
      <c r="D3">
        <v>75000</v>
      </c>
      <c r="E3">
        <v>5</v>
      </c>
      <c r="F3" s="2">
        <v>0.1</v>
      </c>
      <c r="G3" t="s">
        <v>9</v>
      </c>
      <c r="H3" s="2" t="s">
        <v>10</v>
      </c>
    </row>
    <row r="4" spans="1:8" x14ac:dyDescent="0.3">
      <c r="A4">
        <v>1003</v>
      </c>
      <c r="B4" t="s">
        <v>12</v>
      </c>
      <c r="C4" t="s">
        <v>50</v>
      </c>
      <c r="D4">
        <v>12500</v>
      </c>
      <c r="E4">
        <v>10</v>
      </c>
      <c r="F4" s="2">
        <v>0.05</v>
      </c>
      <c r="G4" t="s">
        <v>13</v>
      </c>
      <c r="H4" s="2" t="s">
        <v>10</v>
      </c>
    </row>
    <row r="5" spans="1:8" x14ac:dyDescent="0.3">
      <c r="A5">
        <v>1004</v>
      </c>
      <c r="B5" t="s">
        <v>14</v>
      </c>
      <c r="C5" t="s">
        <v>50</v>
      </c>
      <c r="D5">
        <v>12500</v>
      </c>
      <c r="E5">
        <v>10</v>
      </c>
      <c r="F5" s="2">
        <v>0.05</v>
      </c>
      <c r="G5" t="s">
        <v>13</v>
      </c>
      <c r="H5" s="2" t="s">
        <v>10</v>
      </c>
    </row>
    <row r="6" spans="1:8" x14ac:dyDescent="0.3">
      <c r="A6">
        <v>1005</v>
      </c>
      <c r="B6" t="s">
        <v>15</v>
      </c>
      <c r="C6" t="s">
        <v>51</v>
      </c>
      <c r="D6">
        <v>1200</v>
      </c>
      <c r="E6">
        <v>20</v>
      </c>
      <c r="F6" s="2">
        <v>0.08</v>
      </c>
      <c r="G6" t="s">
        <v>16</v>
      </c>
      <c r="H6" s="2" t="s">
        <v>10</v>
      </c>
    </row>
    <row r="7" spans="1:8" x14ac:dyDescent="0.3">
      <c r="A7">
        <v>1006</v>
      </c>
      <c r="B7" t="s">
        <v>15</v>
      </c>
      <c r="C7" t="s">
        <v>52</v>
      </c>
      <c r="D7">
        <v>1200</v>
      </c>
      <c r="E7">
        <v>20</v>
      </c>
      <c r="F7" s="2">
        <v>0.08</v>
      </c>
      <c r="G7" t="s">
        <v>16</v>
      </c>
      <c r="H7" s="2" t="s">
        <v>10</v>
      </c>
    </row>
    <row r="8" spans="1:8" x14ac:dyDescent="0.3">
      <c r="A8">
        <v>1007</v>
      </c>
      <c r="B8" t="s">
        <v>17</v>
      </c>
      <c r="C8" t="s">
        <v>18</v>
      </c>
      <c r="D8">
        <v>2500</v>
      </c>
      <c r="E8">
        <v>15</v>
      </c>
      <c r="F8" s="2">
        <v>0</v>
      </c>
      <c r="G8" t="s">
        <v>19</v>
      </c>
      <c r="H8" s="2" t="s">
        <v>10</v>
      </c>
    </row>
    <row r="9" spans="1:8" x14ac:dyDescent="0.3">
      <c r="A9">
        <v>1008</v>
      </c>
      <c r="B9" t="s">
        <v>17</v>
      </c>
      <c r="C9" t="s">
        <v>18</v>
      </c>
      <c r="D9">
        <v>2500</v>
      </c>
      <c r="E9">
        <v>15</v>
      </c>
      <c r="F9" s="2">
        <v>0</v>
      </c>
      <c r="G9" t="s">
        <v>19</v>
      </c>
      <c r="H9" s="2" t="s">
        <v>10</v>
      </c>
    </row>
    <row r="10" spans="1:8" x14ac:dyDescent="0.3">
      <c r="A10">
        <v>1009</v>
      </c>
      <c r="B10" t="s">
        <v>20</v>
      </c>
      <c r="C10" t="s">
        <v>59</v>
      </c>
      <c r="D10">
        <v>18000</v>
      </c>
      <c r="E10">
        <v>8</v>
      </c>
      <c r="F10" s="2">
        <v>0.12</v>
      </c>
      <c r="G10" t="s">
        <v>9</v>
      </c>
      <c r="H10" s="2" t="s">
        <v>10</v>
      </c>
    </row>
    <row r="11" spans="1:8" x14ac:dyDescent="0.3">
      <c r="A11">
        <v>1010</v>
      </c>
      <c r="B11" t="s">
        <v>20</v>
      </c>
      <c r="C11" t="s">
        <v>60</v>
      </c>
      <c r="D11">
        <v>18000</v>
      </c>
      <c r="E11">
        <v>8</v>
      </c>
      <c r="F11" s="2">
        <v>0.12</v>
      </c>
      <c r="G11" t="s">
        <v>9</v>
      </c>
      <c r="H11" s="2" t="s">
        <v>10</v>
      </c>
    </row>
    <row r="12" spans="1:8" x14ac:dyDescent="0.3">
      <c r="A12">
        <v>1011</v>
      </c>
      <c r="B12" t="s">
        <v>21</v>
      </c>
      <c r="C12" t="s">
        <v>22</v>
      </c>
      <c r="D12" t="s">
        <v>23</v>
      </c>
      <c r="E12">
        <v>3</v>
      </c>
      <c r="F12" s="2">
        <v>0.15</v>
      </c>
      <c r="G12" t="s">
        <v>13</v>
      </c>
      <c r="H12" t="s">
        <v>10</v>
      </c>
    </row>
    <row r="13" spans="1:8" x14ac:dyDescent="0.3">
      <c r="A13">
        <v>1012</v>
      </c>
      <c r="B13" t="s">
        <v>21</v>
      </c>
      <c r="C13" t="s">
        <v>22</v>
      </c>
      <c r="D13">
        <v>22500</v>
      </c>
      <c r="E13">
        <v>3</v>
      </c>
      <c r="F13" s="2">
        <v>0.15</v>
      </c>
      <c r="G13" t="s">
        <v>13</v>
      </c>
      <c r="H13" t="s">
        <v>10</v>
      </c>
    </row>
    <row r="14" spans="1:8" x14ac:dyDescent="0.3">
      <c r="A14">
        <v>1013</v>
      </c>
      <c r="B14" t="s">
        <v>24</v>
      </c>
      <c r="C14" t="s">
        <v>53</v>
      </c>
      <c r="D14">
        <v>450</v>
      </c>
      <c r="E14">
        <v>30</v>
      </c>
      <c r="F14" s="2">
        <v>0.05</v>
      </c>
      <c r="G14" t="s">
        <v>16</v>
      </c>
      <c r="H14" t="s">
        <v>10</v>
      </c>
    </row>
    <row r="15" spans="1:8" x14ac:dyDescent="0.3">
      <c r="A15">
        <v>1014</v>
      </c>
      <c r="B15" t="s">
        <v>24</v>
      </c>
      <c r="C15" t="s">
        <v>53</v>
      </c>
      <c r="D15">
        <v>450</v>
      </c>
      <c r="E15">
        <v>30</v>
      </c>
      <c r="F15" s="2">
        <v>0.05</v>
      </c>
      <c r="G15" t="s">
        <v>16</v>
      </c>
      <c r="H15" t="s">
        <v>10</v>
      </c>
    </row>
    <row r="16" spans="1:8" x14ac:dyDescent="0.3">
      <c r="A16">
        <v>1015</v>
      </c>
      <c r="B16" t="s">
        <v>25</v>
      </c>
      <c r="C16" t="s">
        <v>54</v>
      </c>
      <c r="D16">
        <v>3500</v>
      </c>
      <c r="E16">
        <v>12</v>
      </c>
      <c r="F16" s="2">
        <v>0.1</v>
      </c>
      <c r="G16" t="s">
        <v>19</v>
      </c>
      <c r="H16" t="s">
        <v>10</v>
      </c>
    </row>
    <row r="17" spans="1:8" x14ac:dyDescent="0.3">
      <c r="A17">
        <v>1016</v>
      </c>
      <c r="B17" t="s">
        <v>25</v>
      </c>
      <c r="C17" t="s">
        <v>26</v>
      </c>
      <c r="D17">
        <v>3500</v>
      </c>
      <c r="E17">
        <v>12</v>
      </c>
      <c r="F17" s="2">
        <v>0.1</v>
      </c>
      <c r="G17" t="s">
        <v>19</v>
      </c>
      <c r="H17" t="s">
        <v>10</v>
      </c>
    </row>
    <row r="18" spans="1:8" x14ac:dyDescent="0.3">
      <c r="A18">
        <v>1017</v>
      </c>
      <c r="B18" t="s">
        <v>27</v>
      </c>
      <c r="C18" t="s">
        <v>28</v>
      </c>
      <c r="D18" s="1">
        <v>25000</v>
      </c>
      <c r="E18">
        <v>6</v>
      </c>
      <c r="F18" s="2">
        <v>0.2</v>
      </c>
      <c r="G18" t="s">
        <v>9</v>
      </c>
      <c r="H18" t="s">
        <v>10</v>
      </c>
    </row>
    <row r="19" spans="1:8" x14ac:dyDescent="0.3">
      <c r="A19">
        <v>1018</v>
      </c>
      <c r="B19" t="s">
        <v>27</v>
      </c>
      <c r="C19" t="s">
        <v>28</v>
      </c>
      <c r="D19">
        <v>25000</v>
      </c>
      <c r="E19">
        <v>6</v>
      </c>
      <c r="F19" s="2">
        <v>0.2</v>
      </c>
      <c r="G19" t="s">
        <v>9</v>
      </c>
      <c r="H19" t="s">
        <v>10</v>
      </c>
    </row>
    <row r="20" spans="1:8" x14ac:dyDescent="0.3">
      <c r="A20">
        <v>1019</v>
      </c>
      <c r="B20" t="s">
        <v>29</v>
      </c>
      <c r="C20" t="s">
        <v>30</v>
      </c>
      <c r="D20" t="s">
        <v>31</v>
      </c>
      <c r="E20">
        <v>18</v>
      </c>
      <c r="F20" s="2">
        <v>7.0000000000000007E-2</v>
      </c>
      <c r="G20" t="s">
        <v>13</v>
      </c>
      <c r="H20" t="s">
        <v>10</v>
      </c>
    </row>
    <row r="21" spans="1:8" x14ac:dyDescent="0.3">
      <c r="A21">
        <v>1020</v>
      </c>
      <c r="B21" t="s">
        <v>29</v>
      </c>
      <c r="C21" t="s">
        <v>32</v>
      </c>
      <c r="D21">
        <v>4500</v>
      </c>
      <c r="E21">
        <v>18</v>
      </c>
      <c r="F21" s="2">
        <v>7.0000000000000007E-2</v>
      </c>
      <c r="G21" t="s">
        <v>13</v>
      </c>
      <c r="H21" t="s">
        <v>10</v>
      </c>
    </row>
    <row r="22" spans="1:8" x14ac:dyDescent="0.3">
      <c r="A22">
        <v>1021</v>
      </c>
      <c r="B22" t="s">
        <v>8</v>
      </c>
      <c r="C22" t="s">
        <v>55</v>
      </c>
      <c r="D22">
        <v>75000</v>
      </c>
      <c r="E22">
        <v>5</v>
      </c>
      <c r="F22" s="2">
        <v>0.1</v>
      </c>
      <c r="G22" t="s">
        <v>9</v>
      </c>
      <c r="H22" t="s">
        <v>33</v>
      </c>
    </row>
    <row r="23" spans="1:8" x14ac:dyDescent="0.3">
      <c r="A23">
        <v>1022</v>
      </c>
      <c r="B23" t="s">
        <v>15</v>
      </c>
      <c r="C23" t="s">
        <v>51</v>
      </c>
      <c r="D23">
        <v>1200</v>
      </c>
      <c r="E23">
        <v>20</v>
      </c>
      <c r="F23" s="2">
        <v>0.08</v>
      </c>
      <c r="G23" t="s">
        <v>16</v>
      </c>
      <c r="H23" t="s">
        <v>33</v>
      </c>
    </row>
    <row r="24" spans="1:8" x14ac:dyDescent="0.3">
      <c r="A24">
        <v>1023</v>
      </c>
      <c r="B24" t="s">
        <v>17</v>
      </c>
      <c r="C24" t="s">
        <v>18</v>
      </c>
      <c r="D24" s="3">
        <v>2500</v>
      </c>
      <c r="E24">
        <v>15</v>
      </c>
      <c r="F24" s="2">
        <v>0</v>
      </c>
      <c r="G24" t="s">
        <v>19</v>
      </c>
      <c r="H24" t="s">
        <v>33</v>
      </c>
    </row>
    <row r="25" spans="1:8" x14ac:dyDescent="0.3">
      <c r="A25">
        <v>1024</v>
      </c>
      <c r="B25" t="s">
        <v>21</v>
      </c>
      <c r="C25" t="s">
        <v>22</v>
      </c>
      <c r="D25">
        <v>22500</v>
      </c>
      <c r="E25">
        <v>3</v>
      </c>
      <c r="F25" s="2">
        <v>0.15</v>
      </c>
      <c r="G25" t="s">
        <v>13</v>
      </c>
      <c r="H25" t="s">
        <v>33</v>
      </c>
    </row>
    <row r="26" spans="1:8" x14ac:dyDescent="0.3">
      <c r="A26">
        <v>1025</v>
      </c>
      <c r="B26" t="s">
        <v>34</v>
      </c>
      <c r="C26" t="s">
        <v>56</v>
      </c>
      <c r="D26">
        <v>85000</v>
      </c>
      <c r="E26">
        <v>4</v>
      </c>
      <c r="F26" s="2">
        <v>0.18</v>
      </c>
      <c r="G26" t="s">
        <v>9</v>
      </c>
      <c r="H26" t="s">
        <v>10</v>
      </c>
    </row>
    <row r="27" spans="1:8" x14ac:dyDescent="0.3">
      <c r="A27">
        <v>1026</v>
      </c>
      <c r="B27" t="s">
        <v>34</v>
      </c>
      <c r="C27" t="s">
        <v>56</v>
      </c>
      <c r="D27">
        <v>85000</v>
      </c>
      <c r="E27">
        <v>4</v>
      </c>
      <c r="F27" s="2">
        <v>0.18</v>
      </c>
      <c r="G27" t="s">
        <v>9</v>
      </c>
      <c r="H27" t="s">
        <v>10</v>
      </c>
    </row>
    <row r="28" spans="1:8" x14ac:dyDescent="0.3">
      <c r="A28">
        <v>1027</v>
      </c>
      <c r="B28" t="s">
        <v>35</v>
      </c>
      <c r="C28" t="s">
        <v>36</v>
      </c>
      <c r="D28" s="1">
        <v>15000</v>
      </c>
      <c r="E28">
        <v>7</v>
      </c>
      <c r="F28" s="2">
        <v>0.05</v>
      </c>
      <c r="G28" t="s">
        <v>13</v>
      </c>
      <c r="H28" t="s">
        <v>10</v>
      </c>
    </row>
    <row r="29" spans="1:8" x14ac:dyDescent="0.3">
      <c r="A29">
        <v>1028</v>
      </c>
      <c r="B29" t="s">
        <v>35</v>
      </c>
      <c r="C29" t="s">
        <v>36</v>
      </c>
      <c r="D29">
        <v>15000</v>
      </c>
      <c r="E29">
        <v>7</v>
      </c>
      <c r="F29" s="2">
        <v>0.05</v>
      </c>
      <c r="G29" t="s">
        <v>13</v>
      </c>
      <c r="H29" t="s">
        <v>10</v>
      </c>
    </row>
    <row r="30" spans="1:8" x14ac:dyDescent="0.3">
      <c r="A30">
        <v>1029</v>
      </c>
      <c r="B30" t="s">
        <v>37</v>
      </c>
      <c r="C30" t="s">
        <v>57</v>
      </c>
      <c r="D30" t="s">
        <v>38</v>
      </c>
      <c r="E30">
        <v>9</v>
      </c>
      <c r="F30" s="2">
        <v>0.1</v>
      </c>
      <c r="G30" t="s">
        <v>16</v>
      </c>
      <c r="H30" t="s">
        <v>10</v>
      </c>
    </row>
    <row r="31" spans="1:8" x14ac:dyDescent="0.3">
      <c r="A31">
        <v>1030</v>
      </c>
      <c r="B31" t="s">
        <v>37</v>
      </c>
      <c r="C31" t="s">
        <v>57</v>
      </c>
      <c r="E31">
        <v>9</v>
      </c>
      <c r="F31" s="2">
        <v>0.1</v>
      </c>
      <c r="G31" t="s">
        <v>16</v>
      </c>
      <c r="H31" t="s">
        <v>10</v>
      </c>
    </row>
    <row r="32" spans="1:8" x14ac:dyDescent="0.3">
      <c r="A32">
        <v>1031</v>
      </c>
      <c r="B32" t="s">
        <v>39</v>
      </c>
      <c r="C32" t="s">
        <v>58</v>
      </c>
      <c r="D32">
        <v>20000</v>
      </c>
      <c r="E32">
        <v>4</v>
      </c>
      <c r="F32" s="2">
        <v>0.06</v>
      </c>
      <c r="G32" t="s">
        <v>19</v>
      </c>
      <c r="H32" t="s">
        <v>10</v>
      </c>
    </row>
    <row r="33" spans="1:8" x14ac:dyDescent="0.3">
      <c r="A33">
        <v>1032</v>
      </c>
      <c r="B33" t="s">
        <v>39</v>
      </c>
      <c r="C33" t="s">
        <v>58</v>
      </c>
      <c r="D33">
        <v>20000</v>
      </c>
      <c r="E33">
        <v>4</v>
      </c>
      <c r="F33" s="2">
        <v>0.06</v>
      </c>
      <c r="G33" t="s">
        <v>19</v>
      </c>
      <c r="H33" t="s">
        <v>10</v>
      </c>
    </row>
    <row r="34" spans="1:8" x14ac:dyDescent="0.3">
      <c r="A34">
        <v>1033</v>
      </c>
      <c r="B34" t="s">
        <v>40</v>
      </c>
      <c r="C34" t="s">
        <v>41</v>
      </c>
      <c r="D34" s="1">
        <v>35000</v>
      </c>
      <c r="E34">
        <v>5</v>
      </c>
      <c r="F34" s="2">
        <v>0.12</v>
      </c>
      <c r="G34" t="s">
        <v>9</v>
      </c>
      <c r="H34" t="s">
        <v>10</v>
      </c>
    </row>
    <row r="35" spans="1:8" x14ac:dyDescent="0.3">
      <c r="A35">
        <v>1034</v>
      </c>
      <c r="B35" t="s">
        <v>40</v>
      </c>
      <c r="C35" t="s">
        <v>41</v>
      </c>
      <c r="D35">
        <v>35000</v>
      </c>
      <c r="E35">
        <v>5</v>
      </c>
      <c r="F35" s="2">
        <v>0.12</v>
      </c>
      <c r="G35" t="s">
        <v>9</v>
      </c>
      <c r="H35" t="s">
        <v>10</v>
      </c>
    </row>
    <row r="36" spans="1:8" x14ac:dyDescent="0.3">
      <c r="A36">
        <v>1035</v>
      </c>
      <c r="B36" t="s">
        <v>42</v>
      </c>
      <c r="C36" t="s">
        <v>43</v>
      </c>
      <c r="D36" s="1">
        <v>42000</v>
      </c>
      <c r="E36">
        <v>2</v>
      </c>
      <c r="F36" s="2">
        <v>0.15</v>
      </c>
      <c r="G36" t="s">
        <v>13</v>
      </c>
      <c r="H36" t="s">
        <v>10</v>
      </c>
    </row>
    <row r="37" spans="1:8" x14ac:dyDescent="0.3">
      <c r="A37">
        <v>1036</v>
      </c>
      <c r="B37" t="s">
        <v>42</v>
      </c>
      <c r="C37" t="s">
        <v>43</v>
      </c>
      <c r="D37">
        <v>42000</v>
      </c>
      <c r="E37">
        <v>2</v>
      </c>
      <c r="F37" s="2">
        <v>0.15</v>
      </c>
      <c r="G37" t="s">
        <v>13</v>
      </c>
      <c r="H37" t="s">
        <v>10</v>
      </c>
    </row>
    <row r="38" spans="1:8" x14ac:dyDescent="0.3">
      <c r="A38">
        <v>1037</v>
      </c>
      <c r="B38" t="s">
        <v>44</v>
      </c>
      <c r="C38" t="s">
        <v>45</v>
      </c>
      <c r="D38" s="1">
        <v>2000</v>
      </c>
      <c r="E38">
        <v>25</v>
      </c>
      <c r="F38" s="2">
        <v>0.05</v>
      </c>
      <c r="G38" t="s">
        <v>16</v>
      </c>
      <c r="H38" t="s">
        <v>10</v>
      </c>
    </row>
    <row r="39" spans="1:8" x14ac:dyDescent="0.3">
      <c r="A39">
        <v>1038</v>
      </c>
      <c r="B39" t="s">
        <v>44</v>
      </c>
      <c r="C39" t="s">
        <v>45</v>
      </c>
      <c r="D39">
        <v>2000</v>
      </c>
      <c r="E39">
        <v>25</v>
      </c>
      <c r="F39" s="2">
        <v>0.05</v>
      </c>
      <c r="G39" t="s">
        <v>16</v>
      </c>
      <c r="H39" t="s">
        <v>10</v>
      </c>
    </row>
    <row r="40" spans="1:8" x14ac:dyDescent="0.3">
      <c r="A40">
        <v>1039</v>
      </c>
      <c r="B40" t="s">
        <v>46</v>
      </c>
      <c r="C40" t="s">
        <v>47</v>
      </c>
      <c r="D40" s="1">
        <v>6500</v>
      </c>
      <c r="E40">
        <v>11</v>
      </c>
      <c r="F40" s="2">
        <v>0.08</v>
      </c>
      <c r="G40" t="s">
        <v>19</v>
      </c>
      <c r="H40" t="s">
        <v>10</v>
      </c>
    </row>
    <row r="41" spans="1:8" x14ac:dyDescent="0.3">
      <c r="A41">
        <v>1040</v>
      </c>
      <c r="B41" t="s">
        <v>46</v>
      </c>
      <c r="C41" t="s">
        <v>47</v>
      </c>
      <c r="D41">
        <v>6500</v>
      </c>
      <c r="E41">
        <v>11</v>
      </c>
      <c r="F41" s="2">
        <v>0.08</v>
      </c>
      <c r="G41" t="s">
        <v>19</v>
      </c>
      <c r="H41" t="s">
        <v>10</v>
      </c>
    </row>
    <row r="42" spans="1:8" x14ac:dyDescent="0.3">
      <c r="A42">
        <v>1039</v>
      </c>
      <c r="B42" t="s">
        <v>46</v>
      </c>
      <c r="C42" t="s">
        <v>47</v>
      </c>
      <c r="D42" s="1">
        <v>6500</v>
      </c>
      <c r="E42">
        <v>11</v>
      </c>
      <c r="F42" s="2">
        <v>0.08</v>
      </c>
      <c r="G42" t="s">
        <v>19</v>
      </c>
      <c r="H4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E976-B5F7-42A6-A450-679A41C60A06}">
  <dimension ref="A2:O43"/>
  <sheetViews>
    <sheetView topLeftCell="A3" workbookViewId="0">
      <selection activeCell="X14" sqref="X14"/>
    </sheetView>
  </sheetViews>
  <sheetFormatPr defaultRowHeight="14.4" x14ac:dyDescent="0.3"/>
  <sheetData>
    <row r="2" spans="1:15" ht="21" x14ac:dyDescent="0.4">
      <c r="E2" s="21" t="s">
        <v>62</v>
      </c>
      <c r="F2" s="22"/>
      <c r="G2" s="22"/>
      <c r="H2" s="22"/>
      <c r="I2" s="22"/>
      <c r="J2" s="22"/>
      <c r="K2" s="22"/>
      <c r="L2" s="22"/>
    </row>
    <row r="3" spans="1:15" x14ac:dyDescent="0.3">
      <c r="E3" s="1"/>
      <c r="H3" s="2"/>
    </row>
    <row r="4" spans="1:15" x14ac:dyDescent="0.3">
      <c r="A4" s="19" t="s">
        <v>61</v>
      </c>
      <c r="B4" s="20"/>
      <c r="C4" s="20"/>
      <c r="D4" s="20"/>
      <c r="E4" s="20"/>
      <c r="F4" s="20"/>
      <c r="G4" s="20"/>
      <c r="H4" s="20"/>
      <c r="I4" s="20"/>
      <c r="J4" s="20"/>
      <c r="K4" s="20"/>
      <c r="L4" s="20"/>
      <c r="M4" s="20"/>
      <c r="N4" s="20"/>
      <c r="O4" s="20"/>
    </row>
    <row r="5" spans="1:15" x14ac:dyDescent="0.3">
      <c r="A5" s="20"/>
      <c r="B5" s="20"/>
      <c r="C5" s="20"/>
      <c r="D5" s="20"/>
      <c r="E5" s="20"/>
      <c r="F5" s="20"/>
      <c r="G5" s="20"/>
      <c r="H5" s="20"/>
      <c r="I5" s="20"/>
      <c r="J5" s="20"/>
      <c r="K5" s="20"/>
      <c r="L5" s="20"/>
      <c r="M5" s="20"/>
      <c r="N5" s="20"/>
      <c r="O5" s="20"/>
    </row>
    <row r="6" spans="1:15" x14ac:dyDescent="0.3">
      <c r="A6" s="20"/>
      <c r="B6" s="20"/>
      <c r="C6" s="20"/>
      <c r="D6" s="20"/>
      <c r="E6" s="20"/>
      <c r="F6" s="20"/>
      <c r="G6" s="20"/>
      <c r="H6" s="20"/>
      <c r="I6" s="20"/>
      <c r="J6" s="20"/>
      <c r="K6" s="20"/>
      <c r="L6" s="20"/>
      <c r="M6" s="20"/>
      <c r="N6" s="20"/>
      <c r="O6" s="20"/>
    </row>
    <row r="7" spans="1:15" x14ac:dyDescent="0.3">
      <c r="A7" s="20"/>
      <c r="B7" s="20"/>
      <c r="C7" s="20"/>
      <c r="D7" s="20"/>
      <c r="E7" s="20"/>
      <c r="F7" s="20"/>
      <c r="G7" s="20"/>
      <c r="H7" s="20"/>
      <c r="I7" s="20"/>
      <c r="J7" s="20"/>
      <c r="K7" s="20"/>
      <c r="L7" s="20"/>
      <c r="M7" s="20"/>
      <c r="N7" s="20"/>
      <c r="O7" s="20"/>
    </row>
    <row r="8" spans="1:15" x14ac:dyDescent="0.3">
      <c r="A8" s="20"/>
      <c r="B8" s="20"/>
      <c r="C8" s="20"/>
      <c r="D8" s="20"/>
      <c r="E8" s="20"/>
      <c r="F8" s="20"/>
      <c r="G8" s="20"/>
      <c r="H8" s="20"/>
      <c r="I8" s="20"/>
      <c r="J8" s="20"/>
      <c r="K8" s="20"/>
      <c r="L8" s="20"/>
      <c r="M8" s="20"/>
      <c r="N8" s="20"/>
      <c r="O8" s="20"/>
    </row>
    <row r="9" spans="1:15" x14ac:dyDescent="0.3">
      <c r="A9" s="20"/>
      <c r="B9" s="20"/>
      <c r="C9" s="20"/>
      <c r="D9" s="20"/>
      <c r="E9" s="20"/>
      <c r="F9" s="20"/>
      <c r="G9" s="20"/>
      <c r="H9" s="20"/>
      <c r="I9" s="20"/>
      <c r="J9" s="20"/>
      <c r="K9" s="20"/>
      <c r="L9" s="20"/>
      <c r="M9" s="20"/>
      <c r="N9" s="20"/>
      <c r="O9" s="20"/>
    </row>
    <row r="10" spans="1:15" x14ac:dyDescent="0.3">
      <c r="A10" s="20"/>
      <c r="B10" s="20"/>
      <c r="C10" s="20"/>
      <c r="D10" s="20"/>
      <c r="E10" s="20"/>
      <c r="F10" s="20"/>
      <c r="G10" s="20"/>
      <c r="H10" s="20"/>
      <c r="I10" s="20"/>
      <c r="J10" s="20"/>
      <c r="K10" s="20"/>
      <c r="L10" s="20"/>
      <c r="M10" s="20"/>
      <c r="N10" s="20"/>
      <c r="O10" s="20"/>
    </row>
    <row r="11" spans="1:15" x14ac:dyDescent="0.3">
      <c r="A11" s="20"/>
      <c r="B11" s="20"/>
      <c r="C11" s="20"/>
      <c r="D11" s="20"/>
      <c r="E11" s="20"/>
      <c r="F11" s="20"/>
      <c r="G11" s="20"/>
      <c r="H11" s="20"/>
      <c r="I11" s="20"/>
      <c r="J11" s="20"/>
      <c r="K11" s="20"/>
      <c r="L11" s="20"/>
      <c r="M11" s="20"/>
      <c r="N11" s="20"/>
      <c r="O11" s="20"/>
    </row>
    <row r="12" spans="1:15" x14ac:dyDescent="0.3">
      <c r="A12" s="20"/>
      <c r="B12" s="20"/>
      <c r="C12" s="20"/>
      <c r="D12" s="20"/>
      <c r="E12" s="20"/>
      <c r="F12" s="20"/>
      <c r="G12" s="20"/>
      <c r="H12" s="20"/>
      <c r="I12" s="20"/>
      <c r="J12" s="20"/>
      <c r="K12" s="20"/>
      <c r="L12" s="20"/>
      <c r="M12" s="20"/>
      <c r="N12" s="20"/>
      <c r="O12" s="20"/>
    </row>
    <row r="13" spans="1:15" x14ac:dyDescent="0.3">
      <c r="A13" s="20"/>
      <c r="B13" s="20"/>
      <c r="C13" s="20"/>
      <c r="D13" s="20"/>
      <c r="E13" s="20"/>
      <c r="F13" s="20"/>
      <c r="G13" s="20"/>
      <c r="H13" s="20"/>
      <c r="I13" s="20"/>
      <c r="J13" s="20"/>
      <c r="K13" s="20"/>
      <c r="L13" s="20"/>
      <c r="M13" s="20"/>
      <c r="N13" s="20"/>
      <c r="O13" s="20"/>
    </row>
    <row r="14" spans="1:15" x14ac:dyDescent="0.3">
      <c r="A14" s="20"/>
      <c r="B14" s="20"/>
      <c r="C14" s="20"/>
      <c r="D14" s="20"/>
      <c r="E14" s="20"/>
      <c r="F14" s="20"/>
      <c r="G14" s="20"/>
      <c r="H14" s="20"/>
      <c r="I14" s="20"/>
      <c r="J14" s="20"/>
      <c r="K14" s="20"/>
      <c r="L14" s="20"/>
      <c r="M14" s="20"/>
      <c r="N14" s="20"/>
      <c r="O14" s="20"/>
    </row>
    <row r="15" spans="1:15" x14ac:dyDescent="0.3">
      <c r="A15" s="20"/>
      <c r="B15" s="20"/>
      <c r="C15" s="20"/>
      <c r="D15" s="20"/>
      <c r="E15" s="20"/>
      <c r="F15" s="20"/>
      <c r="G15" s="20"/>
      <c r="H15" s="20"/>
      <c r="I15" s="20"/>
      <c r="J15" s="20"/>
      <c r="K15" s="20"/>
      <c r="L15" s="20"/>
      <c r="M15" s="20"/>
      <c r="N15" s="20"/>
      <c r="O15" s="20"/>
    </row>
    <row r="16" spans="1:15" x14ac:dyDescent="0.3">
      <c r="A16" s="20"/>
      <c r="B16" s="20"/>
      <c r="C16" s="20"/>
      <c r="D16" s="20"/>
      <c r="E16" s="20"/>
      <c r="F16" s="20"/>
      <c r="G16" s="20"/>
      <c r="H16" s="20"/>
      <c r="I16" s="20"/>
      <c r="J16" s="20"/>
      <c r="K16" s="20"/>
      <c r="L16" s="20"/>
      <c r="M16" s="20"/>
      <c r="N16" s="20"/>
      <c r="O16" s="20"/>
    </row>
    <row r="17" spans="1:15" x14ac:dyDescent="0.3">
      <c r="A17" s="20"/>
      <c r="B17" s="20"/>
      <c r="C17" s="20"/>
      <c r="D17" s="20"/>
      <c r="E17" s="20"/>
      <c r="F17" s="20"/>
      <c r="G17" s="20"/>
      <c r="H17" s="20"/>
      <c r="I17" s="20"/>
      <c r="J17" s="20"/>
      <c r="K17" s="20"/>
      <c r="L17" s="20"/>
      <c r="M17" s="20"/>
      <c r="N17" s="20"/>
      <c r="O17" s="20"/>
    </row>
    <row r="18" spans="1:15" x14ac:dyDescent="0.3">
      <c r="A18" s="20"/>
      <c r="B18" s="20"/>
      <c r="C18" s="20"/>
      <c r="D18" s="20"/>
      <c r="E18" s="20"/>
      <c r="F18" s="20"/>
      <c r="G18" s="20"/>
      <c r="H18" s="20"/>
      <c r="I18" s="20"/>
      <c r="J18" s="20"/>
      <c r="K18" s="20"/>
      <c r="L18" s="20"/>
      <c r="M18" s="20"/>
      <c r="N18" s="20"/>
      <c r="O18" s="20"/>
    </row>
    <row r="19" spans="1:15" x14ac:dyDescent="0.3">
      <c r="A19" s="20"/>
      <c r="B19" s="20"/>
      <c r="C19" s="20"/>
      <c r="D19" s="20"/>
      <c r="E19" s="20"/>
      <c r="F19" s="20"/>
      <c r="G19" s="20"/>
      <c r="H19" s="20"/>
      <c r="I19" s="20"/>
      <c r="J19" s="20"/>
      <c r="K19" s="20"/>
      <c r="L19" s="20"/>
      <c r="M19" s="20"/>
      <c r="N19" s="20"/>
      <c r="O19" s="20"/>
    </row>
    <row r="20" spans="1:15" x14ac:dyDescent="0.3">
      <c r="A20" s="20"/>
      <c r="B20" s="20"/>
      <c r="C20" s="20"/>
      <c r="D20" s="20"/>
      <c r="E20" s="20"/>
      <c r="F20" s="20"/>
      <c r="G20" s="20"/>
      <c r="H20" s="20"/>
      <c r="I20" s="20"/>
      <c r="J20" s="20"/>
      <c r="K20" s="20"/>
      <c r="L20" s="20"/>
      <c r="M20" s="20"/>
      <c r="N20" s="20"/>
      <c r="O20" s="20"/>
    </row>
    <row r="21" spans="1:15" x14ac:dyDescent="0.3">
      <c r="A21" s="20"/>
      <c r="B21" s="20"/>
      <c r="C21" s="20"/>
      <c r="D21" s="20"/>
      <c r="E21" s="20"/>
      <c r="F21" s="20"/>
      <c r="G21" s="20"/>
      <c r="H21" s="20"/>
      <c r="I21" s="20"/>
      <c r="J21" s="20"/>
      <c r="K21" s="20"/>
      <c r="L21" s="20"/>
      <c r="M21" s="20"/>
      <c r="N21" s="20"/>
      <c r="O21" s="20"/>
    </row>
    <row r="22" spans="1:15" x14ac:dyDescent="0.3">
      <c r="A22" s="20"/>
      <c r="B22" s="20"/>
      <c r="C22" s="20"/>
      <c r="D22" s="20"/>
      <c r="E22" s="20"/>
      <c r="F22" s="20"/>
      <c r="G22" s="20"/>
      <c r="H22" s="20"/>
      <c r="I22" s="20"/>
      <c r="J22" s="20"/>
      <c r="K22" s="20"/>
      <c r="L22" s="20"/>
      <c r="M22" s="20"/>
      <c r="N22" s="20"/>
      <c r="O22" s="20"/>
    </row>
    <row r="23" spans="1:15" x14ac:dyDescent="0.3">
      <c r="A23" s="20"/>
      <c r="B23" s="20"/>
      <c r="C23" s="20"/>
      <c r="D23" s="20"/>
      <c r="E23" s="20"/>
      <c r="F23" s="20"/>
      <c r="G23" s="20"/>
      <c r="H23" s="20"/>
      <c r="I23" s="20"/>
      <c r="J23" s="20"/>
      <c r="K23" s="20"/>
      <c r="L23" s="20"/>
      <c r="M23" s="20"/>
      <c r="N23" s="20"/>
      <c r="O23" s="20"/>
    </row>
    <row r="24" spans="1:15" x14ac:dyDescent="0.3">
      <c r="A24" s="20"/>
      <c r="B24" s="20"/>
      <c r="C24" s="20"/>
      <c r="D24" s="20"/>
      <c r="E24" s="20"/>
      <c r="F24" s="20"/>
      <c r="G24" s="20"/>
      <c r="H24" s="20"/>
      <c r="I24" s="20"/>
      <c r="J24" s="20"/>
      <c r="K24" s="20"/>
      <c r="L24" s="20"/>
      <c r="M24" s="20"/>
      <c r="N24" s="20"/>
      <c r="O24" s="20"/>
    </row>
    <row r="25" spans="1:15" x14ac:dyDescent="0.3">
      <c r="A25" s="20"/>
      <c r="B25" s="20"/>
      <c r="C25" s="20"/>
      <c r="D25" s="20"/>
      <c r="E25" s="20"/>
      <c r="F25" s="20"/>
      <c r="G25" s="20"/>
      <c r="H25" s="20"/>
      <c r="I25" s="20"/>
      <c r="J25" s="20"/>
      <c r="K25" s="20"/>
      <c r="L25" s="20"/>
      <c r="M25" s="20"/>
      <c r="N25" s="20"/>
      <c r="O25" s="20"/>
    </row>
    <row r="26" spans="1:15" x14ac:dyDescent="0.3">
      <c r="A26" s="20"/>
      <c r="B26" s="20"/>
      <c r="C26" s="20"/>
      <c r="D26" s="20"/>
      <c r="E26" s="20"/>
      <c r="F26" s="20"/>
      <c r="G26" s="20"/>
      <c r="H26" s="20"/>
      <c r="I26" s="20"/>
      <c r="J26" s="20"/>
      <c r="K26" s="20"/>
      <c r="L26" s="20"/>
      <c r="M26" s="20"/>
      <c r="N26" s="20"/>
      <c r="O26" s="20"/>
    </row>
    <row r="27" spans="1:15" x14ac:dyDescent="0.3">
      <c r="E27" s="1"/>
      <c r="G27" s="2"/>
    </row>
    <row r="28" spans="1:15" x14ac:dyDescent="0.3">
      <c r="G28" s="2"/>
    </row>
    <row r="29" spans="1:15" x14ac:dyDescent="0.3">
      <c r="D29" s="1"/>
      <c r="F29" s="2"/>
    </row>
    <row r="30" spans="1:15" x14ac:dyDescent="0.3">
      <c r="F30" s="2"/>
    </row>
    <row r="31" spans="1:15" x14ac:dyDescent="0.3">
      <c r="G31" s="2"/>
    </row>
    <row r="32" spans="1:15" x14ac:dyDescent="0.3">
      <c r="H32" s="2"/>
    </row>
    <row r="33" spans="4:7" x14ac:dyDescent="0.3">
      <c r="E33" s="1"/>
      <c r="G33" s="2"/>
    </row>
    <row r="34" spans="4:7" x14ac:dyDescent="0.3">
      <c r="G34" s="2"/>
    </row>
    <row r="35" spans="4:7" x14ac:dyDescent="0.3">
      <c r="E35" s="1"/>
      <c r="G35" s="2"/>
    </row>
    <row r="36" spans="4:7" x14ac:dyDescent="0.3">
      <c r="F36" s="2"/>
    </row>
    <row r="37" spans="4:7" x14ac:dyDescent="0.3">
      <c r="D37" s="1"/>
      <c r="F37" s="2"/>
    </row>
    <row r="38" spans="4:7" x14ac:dyDescent="0.3">
      <c r="F38" s="2"/>
    </row>
    <row r="39" spans="4:7" x14ac:dyDescent="0.3">
      <c r="E39" s="1"/>
      <c r="G39" s="2"/>
    </row>
    <row r="40" spans="4:7" x14ac:dyDescent="0.3">
      <c r="F40" s="2"/>
    </row>
    <row r="41" spans="4:7" x14ac:dyDescent="0.3">
      <c r="D41" s="1"/>
      <c r="F41" s="2"/>
    </row>
    <row r="42" spans="4:7" x14ac:dyDescent="0.3">
      <c r="F42" s="2"/>
    </row>
    <row r="43" spans="4:7" x14ac:dyDescent="0.3">
      <c r="D43" s="1"/>
      <c r="F43" s="2"/>
    </row>
  </sheetData>
  <mergeCells count="2">
    <mergeCell ref="A4:O26"/>
    <mergeCell ref="E2: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35AE-49C6-469D-9A2A-DCD716DE4125}">
  <dimension ref="A1:K83"/>
  <sheetViews>
    <sheetView topLeftCell="A62" workbookViewId="0">
      <selection activeCell="M49" sqref="M49"/>
    </sheetView>
  </sheetViews>
  <sheetFormatPr defaultRowHeight="14.4" x14ac:dyDescent="0.3"/>
  <cols>
    <col min="1" max="1" width="11.6640625" bestFit="1" customWidth="1"/>
    <col min="2" max="2" width="21.44140625" bestFit="1" customWidth="1"/>
    <col min="3" max="3" width="15.6640625" bestFit="1" customWidth="1"/>
    <col min="4" max="4" width="15" bestFit="1" customWidth="1"/>
    <col min="5" max="5" width="11" bestFit="1" customWidth="1"/>
    <col min="6" max="6" width="12.109375" customWidth="1"/>
    <col min="7" max="7" width="10.5546875" bestFit="1" customWidth="1"/>
    <col min="8" max="8" width="13.44140625" bestFit="1" customWidth="1"/>
    <col min="9" max="9" width="8.6640625" bestFit="1" customWidth="1"/>
  </cols>
  <sheetData>
    <row r="1" spans="1:10" x14ac:dyDescent="0.3">
      <c r="A1" s="26" t="s">
        <v>0</v>
      </c>
      <c r="B1" s="27" t="s">
        <v>1</v>
      </c>
      <c r="C1" s="27" t="s">
        <v>2</v>
      </c>
      <c r="D1" s="27" t="s">
        <v>3</v>
      </c>
      <c r="E1" s="27" t="s">
        <v>77</v>
      </c>
      <c r="F1" s="27" t="s">
        <v>79</v>
      </c>
      <c r="G1" s="27" t="s">
        <v>4</v>
      </c>
      <c r="H1" s="27" t="s">
        <v>5</v>
      </c>
      <c r="I1" s="27" t="s">
        <v>6</v>
      </c>
      <c r="J1" s="28" t="s">
        <v>7</v>
      </c>
    </row>
    <row r="2" spans="1:10" x14ac:dyDescent="0.3">
      <c r="A2" s="29">
        <v>1001</v>
      </c>
      <c r="B2" s="30" t="s">
        <v>8</v>
      </c>
      <c r="C2" s="30" t="s">
        <v>48</v>
      </c>
      <c r="D2" s="31">
        <v>75000</v>
      </c>
      <c r="E2" s="31">
        <v>75000</v>
      </c>
      <c r="F2" s="31">
        <f>IF(ISBLANK(E2),AVERAGE($E$2:$E$41),E2)</f>
        <v>75000</v>
      </c>
      <c r="G2" s="31">
        <v>5</v>
      </c>
      <c r="H2" s="31">
        <v>0.1</v>
      </c>
      <c r="I2" s="30" t="s">
        <v>9</v>
      </c>
      <c r="J2" s="32" t="s">
        <v>10</v>
      </c>
    </row>
    <row r="3" spans="1:10" x14ac:dyDescent="0.3">
      <c r="A3" s="33">
        <v>1002</v>
      </c>
      <c r="B3" s="34" t="s">
        <v>8</v>
      </c>
      <c r="C3" s="34" t="s">
        <v>63</v>
      </c>
      <c r="D3" s="35">
        <v>75000</v>
      </c>
      <c r="E3" s="35">
        <v>75000</v>
      </c>
      <c r="F3" s="31">
        <f t="shared" ref="F3:F41" si="0">IF(ISBLANK(E3),AVERAGE($E$2:$E$41),E3)</f>
        <v>75000</v>
      </c>
      <c r="G3" s="35">
        <v>5</v>
      </c>
      <c r="H3" s="35">
        <v>0.1</v>
      </c>
      <c r="I3" s="34" t="s">
        <v>9</v>
      </c>
      <c r="J3" s="36" t="s">
        <v>10</v>
      </c>
    </row>
    <row r="4" spans="1:10" x14ac:dyDescent="0.3">
      <c r="A4" s="29">
        <v>1003</v>
      </c>
      <c r="B4" s="30" t="s">
        <v>12</v>
      </c>
      <c r="C4" s="30" t="s">
        <v>64</v>
      </c>
      <c r="D4" s="31">
        <v>12500</v>
      </c>
      <c r="E4" s="31">
        <v>12500</v>
      </c>
      <c r="F4" s="31">
        <f t="shared" si="0"/>
        <v>12500</v>
      </c>
      <c r="G4" s="31">
        <v>10</v>
      </c>
      <c r="H4" s="31">
        <v>0.05</v>
      </c>
      <c r="I4" s="30" t="s">
        <v>13</v>
      </c>
      <c r="J4" s="32" t="s">
        <v>10</v>
      </c>
    </row>
    <row r="5" spans="1:10" x14ac:dyDescent="0.3">
      <c r="A5" s="33">
        <v>1004</v>
      </c>
      <c r="B5" s="34" t="s">
        <v>12</v>
      </c>
      <c r="C5" s="34" t="s">
        <v>64</v>
      </c>
      <c r="D5" s="35">
        <v>12500</v>
      </c>
      <c r="E5" s="35">
        <v>12500</v>
      </c>
      <c r="F5" s="31">
        <f t="shared" si="0"/>
        <v>12500</v>
      </c>
      <c r="G5" s="35">
        <v>10</v>
      </c>
      <c r="H5" s="35">
        <v>0.05</v>
      </c>
      <c r="I5" s="34" t="s">
        <v>13</v>
      </c>
      <c r="J5" s="36" t="s">
        <v>10</v>
      </c>
    </row>
    <row r="6" spans="1:10" x14ac:dyDescent="0.3">
      <c r="A6" s="29">
        <v>1005</v>
      </c>
      <c r="B6" s="30" t="s">
        <v>15</v>
      </c>
      <c r="C6" s="30" t="s">
        <v>65</v>
      </c>
      <c r="D6" s="31">
        <v>1200</v>
      </c>
      <c r="E6" s="31">
        <v>1200</v>
      </c>
      <c r="F6" s="31">
        <f t="shared" si="0"/>
        <v>1200</v>
      </c>
      <c r="G6" s="31">
        <v>20</v>
      </c>
      <c r="H6" s="31">
        <v>0.08</v>
      </c>
      <c r="I6" s="30" t="s">
        <v>16</v>
      </c>
      <c r="J6" s="32" t="s">
        <v>10</v>
      </c>
    </row>
    <row r="7" spans="1:10" x14ac:dyDescent="0.3">
      <c r="A7" s="33">
        <v>1006</v>
      </c>
      <c r="B7" s="34" t="s">
        <v>15</v>
      </c>
      <c r="C7" s="34" t="s">
        <v>65</v>
      </c>
      <c r="D7" s="35">
        <v>1200</v>
      </c>
      <c r="E7" s="35"/>
      <c r="F7" s="31">
        <f t="shared" si="0"/>
        <v>23509.722222222223</v>
      </c>
      <c r="G7" s="35">
        <v>20</v>
      </c>
      <c r="H7" s="35">
        <v>0.08</v>
      </c>
      <c r="I7" s="34" t="s">
        <v>16</v>
      </c>
      <c r="J7" s="36" t="s">
        <v>10</v>
      </c>
    </row>
    <row r="8" spans="1:10" x14ac:dyDescent="0.3">
      <c r="A8" s="29">
        <v>1007</v>
      </c>
      <c r="B8" s="30" t="s">
        <v>17</v>
      </c>
      <c r="C8" s="30" t="s">
        <v>18</v>
      </c>
      <c r="D8" s="31">
        <v>2500</v>
      </c>
      <c r="E8" s="31">
        <v>2500</v>
      </c>
      <c r="F8" s="31">
        <f t="shared" si="0"/>
        <v>2500</v>
      </c>
      <c r="G8" s="31">
        <v>15</v>
      </c>
      <c r="H8" s="31">
        <v>0</v>
      </c>
      <c r="I8" s="30" t="s">
        <v>19</v>
      </c>
      <c r="J8" s="32" t="s">
        <v>10</v>
      </c>
    </row>
    <row r="9" spans="1:10" x14ac:dyDescent="0.3">
      <c r="A9" s="33">
        <v>1008</v>
      </c>
      <c r="B9" s="34" t="s">
        <v>17</v>
      </c>
      <c r="C9" s="34" t="s">
        <v>18</v>
      </c>
      <c r="D9" s="35">
        <v>2500</v>
      </c>
      <c r="E9" s="35">
        <v>2500</v>
      </c>
      <c r="F9" s="31">
        <f t="shared" si="0"/>
        <v>2500</v>
      </c>
      <c r="G9" s="35">
        <v>15</v>
      </c>
      <c r="H9" s="35">
        <v>0</v>
      </c>
      <c r="I9" s="34" t="s">
        <v>19</v>
      </c>
      <c r="J9" s="36" t="s">
        <v>10</v>
      </c>
    </row>
    <row r="10" spans="1:10" x14ac:dyDescent="0.3">
      <c r="A10" s="29">
        <v>1009</v>
      </c>
      <c r="B10" s="30" t="s">
        <v>20</v>
      </c>
      <c r="C10" s="30" t="s">
        <v>66</v>
      </c>
      <c r="D10" s="31">
        <v>18000</v>
      </c>
      <c r="E10" s="31">
        <v>18000</v>
      </c>
      <c r="F10" s="31">
        <f t="shared" si="0"/>
        <v>18000</v>
      </c>
      <c r="G10" s="31">
        <v>8</v>
      </c>
      <c r="H10" s="31">
        <v>0.12</v>
      </c>
      <c r="I10" s="30" t="s">
        <v>9</v>
      </c>
      <c r="J10" s="32" t="s">
        <v>10</v>
      </c>
    </row>
    <row r="11" spans="1:10" x14ac:dyDescent="0.3">
      <c r="A11" s="33">
        <v>1010</v>
      </c>
      <c r="B11" s="34" t="s">
        <v>20</v>
      </c>
      <c r="C11" s="34" t="s">
        <v>66</v>
      </c>
      <c r="D11" s="35">
        <v>18000</v>
      </c>
      <c r="E11" s="35">
        <v>18000</v>
      </c>
      <c r="F11" s="31">
        <f t="shared" si="0"/>
        <v>18000</v>
      </c>
      <c r="G11" s="35">
        <v>8</v>
      </c>
      <c r="H11" s="35">
        <v>0.12</v>
      </c>
      <c r="I11" s="34" t="s">
        <v>9</v>
      </c>
      <c r="J11" s="36" t="s">
        <v>10</v>
      </c>
    </row>
    <row r="12" spans="1:10" x14ac:dyDescent="0.3">
      <c r="A12" s="29">
        <v>1011</v>
      </c>
      <c r="B12" s="30" t="s">
        <v>21</v>
      </c>
      <c r="C12" s="30" t="s">
        <v>22</v>
      </c>
      <c r="D12" s="31">
        <v>22500</v>
      </c>
      <c r="E12" s="31">
        <v>22500</v>
      </c>
      <c r="F12" s="31">
        <f t="shared" si="0"/>
        <v>22500</v>
      </c>
      <c r="G12" s="31">
        <v>3</v>
      </c>
      <c r="H12" s="31">
        <v>0.15</v>
      </c>
      <c r="I12" s="30" t="s">
        <v>13</v>
      </c>
      <c r="J12" s="32" t="s">
        <v>10</v>
      </c>
    </row>
    <row r="13" spans="1:10" x14ac:dyDescent="0.3">
      <c r="A13" s="33">
        <v>1012</v>
      </c>
      <c r="B13" s="34" t="s">
        <v>21</v>
      </c>
      <c r="C13" s="34" t="s">
        <v>22</v>
      </c>
      <c r="D13" s="35">
        <v>22500</v>
      </c>
      <c r="E13" s="35">
        <v>22500</v>
      </c>
      <c r="F13" s="31">
        <f t="shared" si="0"/>
        <v>22500</v>
      </c>
      <c r="G13" s="35">
        <v>3</v>
      </c>
      <c r="H13" s="35">
        <v>0.15</v>
      </c>
      <c r="I13" s="34" t="s">
        <v>13</v>
      </c>
      <c r="J13" s="36" t="s">
        <v>10</v>
      </c>
    </row>
    <row r="14" spans="1:10" x14ac:dyDescent="0.3">
      <c r="A14" s="29">
        <v>1013</v>
      </c>
      <c r="B14" s="30" t="s">
        <v>24</v>
      </c>
      <c r="C14" s="30" t="s">
        <v>67</v>
      </c>
      <c r="D14" s="31">
        <v>450</v>
      </c>
      <c r="E14" s="31">
        <v>450</v>
      </c>
      <c r="F14" s="31">
        <f t="shared" si="0"/>
        <v>450</v>
      </c>
      <c r="G14" s="31">
        <v>30</v>
      </c>
      <c r="H14" s="31">
        <v>0.05</v>
      </c>
      <c r="I14" s="30" t="s">
        <v>16</v>
      </c>
      <c r="J14" s="32" t="s">
        <v>10</v>
      </c>
    </row>
    <row r="15" spans="1:10" x14ac:dyDescent="0.3">
      <c r="A15" s="33">
        <v>1014</v>
      </c>
      <c r="B15" s="34" t="s">
        <v>24</v>
      </c>
      <c r="C15" s="34" t="s">
        <v>67</v>
      </c>
      <c r="D15" s="35">
        <v>450</v>
      </c>
      <c r="E15" s="35"/>
      <c r="F15" s="31">
        <f t="shared" si="0"/>
        <v>23509.722222222223</v>
      </c>
      <c r="G15" s="35">
        <v>30</v>
      </c>
      <c r="H15" s="35">
        <v>0.05</v>
      </c>
      <c r="I15" s="34" t="s">
        <v>16</v>
      </c>
      <c r="J15" s="36" t="s">
        <v>10</v>
      </c>
    </row>
    <row r="16" spans="1:10" x14ac:dyDescent="0.3">
      <c r="A16" s="29">
        <v>1015</v>
      </c>
      <c r="B16" s="30" t="s">
        <v>25</v>
      </c>
      <c r="C16" s="30" t="s">
        <v>26</v>
      </c>
      <c r="D16" s="31">
        <v>3500</v>
      </c>
      <c r="E16" s="31">
        <v>3500</v>
      </c>
      <c r="F16" s="31">
        <f t="shared" si="0"/>
        <v>3500</v>
      </c>
      <c r="G16" s="31">
        <v>12</v>
      </c>
      <c r="H16" s="31">
        <v>0.1</v>
      </c>
      <c r="I16" s="30" t="s">
        <v>19</v>
      </c>
      <c r="J16" s="32" t="s">
        <v>10</v>
      </c>
    </row>
    <row r="17" spans="1:10" x14ac:dyDescent="0.3">
      <c r="A17" s="33">
        <v>1016</v>
      </c>
      <c r="B17" s="34" t="s">
        <v>25</v>
      </c>
      <c r="C17" s="34" t="s">
        <v>26</v>
      </c>
      <c r="D17" s="35">
        <v>3500</v>
      </c>
      <c r="E17" s="35">
        <v>3500</v>
      </c>
      <c r="F17" s="31">
        <f t="shared" si="0"/>
        <v>3500</v>
      </c>
      <c r="G17" s="35">
        <v>12</v>
      </c>
      <c r="H17" s="35">
        <v>0.1</v>
      </c>
      <c r="I17" s="34" t="s">
        <v>19</v>
      </c>
      <c r="J17" s="36" t="s">
        <v>10</v>
      </c>
    </row>
    <row r="18" spans="1:10" x14ac:dyDescent="0.3">
      <c r="A18" s="29">
        <v>1017</v>
      </c>
      <c r="B18" s="30" t="s">
        <v>27</v>
      </c>
      <c r="C18" s="30" t="s">
        <v>28</v>
      </c>
      <c r="D18" s="31">
        <v>25000</v>
      </c>
      <c r="E18" s="31">
        <v>25000</v>
      </c>
      <c r="F18" s="31">
        <f t="shared" si="0"/>
        <v>25000</v>
      </c>
      <c r="G18" s="31">
        <v>6</v>
      </c>
      <c r="H18" s="31">
        <v>0.2</v>
      </c>
      <c r="I18" s="30" t="s">
        <v>9</v>
      </c>
      <c r="J18" s="32" t="s">
        <v>10</v>
      </c>
    </row>
    <row r="19" spans="1:10" x14ac:dyDescent="0.3">
      <c r="A19" s="33">
        <v>1018</v>
      </c>
      <c r="B19" s="34" t="s">
        <v>27</v>
      </c>
      <c r="C19" s="34" t="s">
        <v>28</v>
      </c>
      <c r="D19" s="35">
        <v>25000</v>
      </c>
      <c r="E19" s="35">
        <v>25000</v>
      </c>
      <c r="F19" s="31">
        <f t="shared" si="0"/>
        <v>25000</v>
      </c>
      <c r="G19" s="35">
        <v>6</v>
      </c>
      <c r="H19" s="35">
        <v>0.2</v>
      </c>
      <c r="I19" s="34" t="s">
        <v>9</v>
      </c>
      <c r="J19" s="36" t="s">
        <v>10</v>
      </c>
    </row>
    <row r="20" spans="1:10" x14ac:dyDescent="0.3">
      <c r="A20" s="29">
        <v>1019</v>
      </c>
      <c r="B20" s="30" t="s">
        <v>29</v>
      </c>
      <c r="C20" s="30" t="s">
        <v>68</v>
      </c>
      <c r="D20" s="31">
        <v>4500</v>
      </c>
      <c r="E20" s="31">
        <v>4500</v>
      </c>
      <c r="F20" s="31">
        <f t="shared" si="0"/>
        <v>4500</v>
      </c>
      <c r="G20" s="31">
        <v>18</v>
      </c>
      <c r="H20" s="31">
        <v>7.0000000000000007E-2</v>
      </c>
      <c r="I20" s="30" t="s">
        <v>13</v>
      </c>
      <c r="J20" s="32" t="s">
        <v>10</v>
      </c>
    </row>
    <row r="21" spans="1:10" x14ac:dyDescent="0.3">
      <c r="A21" s="33">
        <v>1020</v>
      </c>
      <c r="B21" s="34" t="s">
        <v>29</v>
      </c>
      <c r="C21" s="34" t="s">
        <v>32</v>
      </c>
      <c r="D21" s="35">
        <v>4500</v>
      </c>
      <c r="E21" s="35">
        <v>4500</v>
      </c>
      <c r="F21" s="31">
        <f t="shared" si="0"/>
        <v>4500</v>
      </c>
      <c r="G21" s="35">
        <v>18</v>
      </c>
      <c r="H21" s="35">
        <v>7.0000000000000007E-2</v>
      </c>
      <c r="I21" s="34" t="s">
        <v>13</v>
      </c>
      <c r="J21" s="36" t="s">
        <v>10</v>
      </c>
    </row>
    <row r="22" spans="1:10" x14ac:dyDescent="0.3">
      <c r="A22" s="29">
        <v>1021</v>
      </c>
      <c r="B22" s="30" t="s">
        <v>8</v>
      </c>
      <c r="C22" s="30" t="s">
        <v>63</v>
      </c>
      <c r="D22" s="31">
        <v>75000</v>
      </c>
      <c r="E22" s="31">
        <v>75000</v>
      </c>
      <c r="F22" s="31">
        <f t="shared" si="0"/>
        <v>75000</v>
      </c>
      <c r="G22" s="31">
        <v>5</v>
      </c>
      <c r="H22" s="31">
        <v>0.1</v>
      </c>
      <c r="I22" s="30" t="s">
        <v>9</v>
      </c>
      <c r="J22" s="32" t="s">
        <v>33</v>
      </c>
    </row>
    <row r="23" spans="1:10" x14ac:dyDescent="0.3">
      <c r="A23" s="33">
        <v>1022</v>
      </c>
      <c r="B23" s="34" t="s">
        <v>15</v>
      </c>
      <c r="C23" s="34" t="s">
        <v>65</v>
      </c>
      <c r="D23" s="35">
        <v>1200</v>
      </c>
      <c r="E23" s="35">
        <v>1200</v>
      </c>
      <c r="F23" s="31">
        <f t="shared" si="0"/>
        <v>1200</v>
      </c>
      <c r="G23" s="35">
        <v>20</v>
      </c>
      <c r="H23" s="35">
        <v>0.08</v>
      </c>
      <c r="I23" s="34" t="s">
        <v>16</v>
      </c>
      <c r="J23" s="36" t="s">
        <v>33</v>
      </c>
    </row>
    <row r="24" spans="1:10" x14ac:dyDescent="0.3">
      <c r="A24" s="29">
        <v>1023</v>
      </c>
      <c r="B24" s="30" t="s">
        <v>17</v>
      </c>
      <c r="C24" s="30" t="s">
        <v>18</v>
      </c>
      <c r="D24" s="31">
        <v>2500</v>
      </c>
      <c r="E24" s="31"/>
      <c r="F24" s="31">
        <f t="shared" si="0"/>
        <v>23509.722222222223</v>
      </c>
      <c r="G24" s="31">
        <v>15</v>
      </c>
      <c r="H24" s="31">
        <v>0</v>
      </c>
      <c r="I24" s="30" t="s">
        <v>19</v>
      </c>
      <c r="J24" s="32" t="s">
        <v>33</v>
      </c>
    </row>
    <row r="25" spans="1:10" x14ac:dyDescent="0.3">
      <c r="A25" s="33">
        <v>1024</v>
      </c>
      <c r="B25" s="34" t="s">
        <v>21</v>
      </c>
      <c r="C25" s="34" t="s">
        <v>22</v>
      </c>
      <c r="D25" s="35">
        <v>22500</v>
      </c>
      <c r="E25" s="35">
        <v>22500</v>
      </c>
      <c r="F25" s="31">
        <f t="shared" si="0"/>
        <v>22500</v>
      </c>
      <c r="G25" s="35">
        <v>3</v>
      </c>
      <c r="H25" s="35">
        <v>0.15</v>
      </c>
      <c r="I25" s="34" t="s">
        <v>13</v>
      </c>
      <c r="J25" s="36" t="s">
        <v>33</v>
      </c>
    </row>
    <row r="26" spans="1:10" x14ac:dyDescent="0.3">
      <c r="A26" s="29">
        <v>1025</v>
      </c>
      <c r="B26" s="30" t="s">
        <v>34</v>
      </c>
      <c r="C26" s="30" t="s">
        <v>69</v>
      </c>
      <c r="D26" s="31">
        <v>85000</v>
      </c>
      <c r="E26" s="31">
        <v>85000</v>
      </c>
      <c r="F26" s="31">
        <f t="shared" si="0"/>
        <v>85000</v>
      </c>
      <c r="G26" s="31">
        <v>4</v>
      </c>
      <c r="H26" s="31">
        <v>0.18</v>
      </c>
      <c r="I26" s="30" t="s">
        <v>9</v>
      </c>
      <c r="J26" s="32" t="s">
        <v>10</v>
      </c>
    </row>
    <row r="27" spans="1:10" x14ac:dyDescent="0.3">
      <c r="A27" s="33">
        <v>1026</v>
      </c>
      <c r="B27" s="34" t="s">
        <v>34</v>
      </c>
      <c r="C27" s="34" t="s">
        <v>69</v>
      </c>
      <c r="D27" s="35">
        <v>85000</v>
      </c>
      <c r="E27" s="35">
        <v>85000</v>
      </c>
      <c r="F27" s="31">
        <f t="shared" si="0"/>
        <v>85000</v>
      </c>
      <c r="G27" s="35">
        <v>4</v>
      </c>
      <c r="H27" s="35">
        <v>0.18</v>
      </c>
      <c r="I27" s="34" t="s">
        <v>9</v>
      </c>
      <c r="J27" s="36" t="s">
        <v>10</v>
      </c>
    </row>
    <row r="28" spans="1:10" x14ac:dyDescent="0.3">
      <c r="A28" s="29">
        <v>1027</v>
      </c>
      <c r="B28" s="30" t="s">
        <v>35</v>
      </c>
      <c r="C28" s="30" t="s">
        <v>36</v>
      </c>
      <c r="D28" s="31">
        <v>15000</v>
      </c>
      <c r="E28" s="31">
        <v>15000</v>
      </c>
      <c r="F28" s="31">
        <f t="shared" si="0"/>
        <v>15000</v>
      </c>
      <c r="G28" s="31">
        <v>7</v>
      </c>
      <c r="H28" s="31">
        <v>0.05</v>
      </c>
      <c r="I28" s="30" t="s">
        <v>13</v>
      </c>
      <c r="J28" s="32" t="s">
        <v>10</v>
      </c>
    </row>
    <row r="29" spans="1:10" x14ac:dyDescent="0.3">
      <c r="A29" s="33">
        <v>1028</v>
      </c>
      <c r="B29" s="34" t="s">
        <v>35</v>
      </c>
      <c r="C29" s="34" t="s">
        <v>36</v>
      </c>
      <c r="D29" s="35">
        <v>15000</v>
      </c>
      <c r="E29" s="35">
        <v>15000</v>
      </c>
      <c r="F29" s="31">
        <f t="shared" si="0"/>
        <v>15000</v>
      </c>
      <c r="G29" s="35">
        <v>7</v>
      </c>
      <c r="H29" s="35">
        <v>0.05</v>
      </c>
      <c r="I29" s="34" t="s">
        <v>13</v>
      </c>
      <c r="J29" s="36" t="s">
        <v>10</v>
      </c>
    </row>
    <row r="30" spans="1:10" x14ac:dyDescent="0.3">
      <c r="A30" s="29">
        <v>1029</v>
      </c>
      <c r="B30" s="30" t="s">
        <v>37</v>
      </c>
      <c r="C30" s="30" t="s">
        <v>74</v>
      </c>
      <c r="D30" s="31">
        <v>8000</v>
      </c>
      <c r="E30" s="31">
        <v>8000</v>
      </c>
      <c r="F30" s="31">
        <f t="shared" si="0"/>
        <v>8000</v>
      </c>
      <c r="G30" s="31">
        <v>9</v>
      </c>
      <c r="H30" s="31">
        <v>0.1</v>
      </c>
      <c r="I30" s="30" t="s">
        <v>16</v>
      </c>
      <c r="J30" s="32" t="s">
        <v>10</v>
      </c>
    </row>
    <row r="31" spans="1:10" x14ac:dyDescent="0.3">
      <c r="A31" s="33">
        <v>1030</v>
      </c>
      <c r="B31" s="34" t="s">
        <v>37</v>
      </c>
      <c r="C31" s="34" t="s">
        <v>74</v>
      </c>
      <c r="D31" s="35"/>
      <c r="E31" s="35"/>
      <c r="F31" s="31">
        <f t="shared" si="0"/>
        <v>23509.722222222223</v>
      </c>
      <c r="G31" s="35">
        <v>9</v>
      </c>
      <c r="H31" s="35">
        <v>0.1</v>
      </c>
      <c r="I31" s="34" t="s">
        <v>16</v>
      </c>
      <c r="J31" s="36" t="s">
        <v>10</v>
      </c>
    </row>
    <row r="32" spans="1:10" x14ac:dyDescent="0.3">
      <c r="A32" s="29">
        <v>1031</v>
      </c>
      <c r="B32" s="30" t="s">
        <v>39</v>
      </c>
      <c r="C32" s="30" t="s">
        <v>70</v>
      </c>
      <c r="D32" s="31">
        <v>20000</v>
      </c>
      <c r="E32" s="31">
        <v>20000</v>
      </c>
      <c r="F32" s="31">
        <f t="shared" si="0"/>
        <v>20000</v>
      </c>
      <c r="G32" s="31">
        <v>4</v>
      </c>
      <c r="H32" s="31">
        <v>0.06</v>
      </c>
      <c r="I32" s="30" t="s">
        <v>19</v>
      </c>
      <c r="J32" s="32" t="s">
        <v>10</v>
      </c>
    </row>
    <row r="33" spans="1:11" x14ac:dyDescent="0.3">
      <c r="A33" s="33">
        <v>1032</v>
      </c>
      <c r="B33" s="34" t="s">
        <v>39</v>
      </c>
      <c r="C33" s="34" t="s">
        <v>70</v>
      </c>
      <c r="D33" s="35">
        <v>20000</v>
      </c>
      <c r="E33" s="35">
        <v>20000</v>
      </c>
      <c r="F33" s="31">
        <f t="shared" si="0"/>
        <v>20000</v>
      </c>
      <c r="G33" s="35">
        <v>4</v>
      </c>
      <c r="H33" s="35">
        <v>0.06</v>
      </c>
      <c r="I33" s="34" t="s">
        <v>19</v>
      </c>
      <c r="J33" s="36" t="s">
        <v>10</v>
      </c>
    </row>
    <row r="34" spans="1:11" x14ac:dyDescent="0.3">
      <c r="A34" s="29">
        <v>1033</v>
      </c>
      <c r="B34" s="30" t="s">
        <v>40</v>
      </c>
      <c r="C34" s="30" t="s">
        <v>75</v>
      </c>
      <c r="D34" s="31">
        <v>35000</v>
      </c>
      <c r="E34" s="31">
        <v>35000</v>
      </c>
      <c r="F34" s="31">
        <f t="shared" si="0"/>
        <v>35000</v>
      </c>
      <c r="G34" s="31">
        <v>5</v>
      </c>
      <c r="H34" s="31">
        <v>0.12</v>
      </c>
      <c r="I34" s="30" t="s">
        <v>9</v>
      </c>
      <c r="J34" s="32" t="s">
        <v>10</v>
      </c>
    </row>
    <row r="35" spans="1:11" x14ac:dyDescent="0.3">
      <c r="A35" s="33">
        <v>1034</v>
      </c>
      <c r="B35" s="34" t="s">
        <v>40</v>
      </c>
      <c r="C35" s="34" t="s">
        <v>75</v>
      </c>
      <c r="D35" s="35">
        <v>35000</v>
      </c>
      <c r="E35" s="35">
        <v>35000</v>
      </c>
      <c r="F35" s="31">
        <f t="shared" si="0"/>
        <v>35000</v>
      </c>
      <c r="G35" s="35">
        <v>5</v>
      </c>
      <c r="H35" s="35">
        <v>0.12</v>
      </c>
      <c r="I35" s="34" t="s">
        <v>9</v>
      </c>
      <c r="J35" s="36" t="s">
        <v>10</v>
      </c>
    </row>
    <row r="36" spans="1:11" x14ac:dyDescent="0.3">
      <c r="A36" s="29">
        <v>1035</v>
      </c>
      <c r="B36" s="30" t="s">
        <v>42</v>
      </c>
      <c r="C36" s="30" t="s">
        <v>43</v>
      </c>
      <c r="D36" s="31">
        <v>42000</v>
      </c>
      <c r="E36" s="31">
        <v>42000</v>
      </c>
      <c r="F36" s="31">
        <f t="shared" si="0"/>
        <v>42000</v>
      </c>
      <c r="G36" s="31">
        <v>2</v>
      </c>
      <c r="H36" s="31">
        <v>0.15</v>
      </c>
      <c r="I36" s="30" t="s">
        <v>13</v>
      </c>
      <c r="J36" s="32" t="s">
        <v>10</v>
      </c>
    </row>
    <row r="37" spans="1:11" x14ac:dyDescent="0.3">
      <c r="A37" s="33">
        <v>1036</v>
      </c>
      <c r="B37" s="34" t="s">
        <v>42</v>
      </c>
      <c r="C37" s="34" t="s">
        <v>43</v>
      </c>
      <c r="D37" s="35">
        <v>42000</v>
      </c>
      <c r="E37" s="35">
        <v>42000</v>
      </c>
      <c r="F37" s="31">
        <f t="shared" si="0"/>
        <v>42000</v>
      </c>
      <c r="G37" s="35">
        <v>2</v>
      </c>
      <c r="H37" s="35">
        <v>0.15</v>
      </c>
      <c r="I37" s="34" t="s">
        <v>13</v>
      </c>
      <c r="J37" s="36" t="s">
        <v>10</v>
      </c>
    </row>
    <row r="38" spans="1:11" x14ac:dyDescent="0.3">
      <c r="A38" s="29">
        <v>1037</v>
      </c>
      <c r="B38" s="30" t="s">
        <v>44</v>
      </c>
      <c r="C38" s="30" t="s">
        <v>71</v>
      </c>
      <c r="D38" s="31">
        <v>2000</v>
      </c>
      <c r="E38" s="31">
        <v>2000</v>
      </c>
      <c r="F38" s="31">
        <f t="shared" si="0"/>
        <v>2000</v>
      </c>
      <c r="G38" s="31">
        <v>25</v>
      </c>
      <c r="H38" s="31">
        <v>0.05</v>
      </c>
      <c r="I38" s="30" t="s">
        <v>16</v>
      </c>
      <c r="J38" s="32" t="s">
        <v>10</v>
      </c>
    </row>
    <row r="39" spans="1:11" x14ac:dyDescent="0.3">
      <c r="A39" s="33">
        <v>1038</v>
      </c>
      <c r="B39" s="34" t="s">
        <v>44</v>
      </c>
      <c r="C39" s="34" t="s">
        <v>71</v>
      </c>
      <c r="D39" s="35">
        <v>2000</v>
      </c>
      <c r="E39" s="35">
        <v>2000</v>
      </c>
      <c r="F39" s="31">
        <f t="shared" si="0"/>
        <v>2000</v>
      </c>
      <c r="G39" s="35">
        <v>25</v>
      </c>
      <c r="H39" s="35">
        <v>0.05</v>
      </c>
      <c r="I39" s="34" t="s">
        <v>16</v>
      </c>
      <c r="J39" s="36" t="s">
        <v>10</v>
      </c>
    </row>
    <row r="40" spans="1:11" x14ac:dyDescent="0.3">
      <c r="A40" s="29">
        <v>1039</v>
      </c>
      <c r="B40" s="30" t="s">
        <v>46</v>
      </c>
      <c r="C40" s="30" t="s">
        <v>47</v>
      </c>
      <c r="D40" s="31">
        <v>6500</v>
      </c>
      <c r="E40" s="31">
        <v>6500</v>
      </c>
      <c r="F40" s="31">
        <f t="shared" si="0"/>
        <v>6500</v>
      </c>
      <c r="G40" s="31">
        <v>11</v>
      </c>
      <c r="H40" s="31">
        <v>0.08</v>
      </c>
      <c r="I40" s="30" t="s">
        <v>19</v>
      </c>
      <c r="J40" s="32" t="s">
        <v>10</v>
      </c>
    </row>
    <row r="41" spans="1:11" x14ac:dyDescent="0.3">
      <c r="A41" s="23">
        <v>1040</v>
      </c>
      <c r="B41" s="37" t="s">
        <v>46</v>
      </c>
      <c r="C41" s="37" t="s">
        <v>47</v>
      </c>
      <c r="D41" s="24">
        <v>6500</v>
      </c>
      <c r="E41" s="24">
        <v>6500</v>
      </c>
      <c r="F41" s="31">
        <f t="shared" si="0"/>
        <v>6500</v>
      </c>
      <c r="G41" s="24">
        <v>11</v>
      </c>
      <c r="H41" s="24">
        <v>0.08</v>
      </c>
      <c r="I41" s="37" t="s">
        <v>19</v>
      </c>
      <c r="J41" s="38" t="s">
        <v>10</v>
      </c>
    </row>
    <row r="44" spans="1:11" x14ac:dyDescent="0.3">
      <c r="D44" s="39" t="s">
        <v>78</v>
      </c>
      <c r="E44" s="39">
        <f>AVERAGE(solutions!$E$2:$E$41)</f>
        <v>23509.722222222223</v>
      </c>
      <c r="F44" s="25"/>
      <c r="G44" s="25"/>
    </row>
    <row r="45" spans="1:11" x14ac:dyDescent="0.3">
      <c r="D45" s="39" t="s">
        <v>80</v>
      </c>
      <c r="E45" s="39" cm="1">
        <f t="array" ref="E45">_xlfn.STDEV.S(_xlfn._xlws.FILTER(E2:E41,J2:J41="Valid"))</f>
        <v>24652.483893539251</v>
      </c>
      <c r="F45" s="25"/>
      <c r="G45" s="25"/>
    </row>
    <row r="47" spans="1:11" x14ac:dyDescent="0.3">
      <c r="B47" s="56" t="s">
        <v>82</v>
      </c>
      <c r="C47" s="57"/>
      <c r="D47" s="57"/>
      <c r="E47" s="57"/>
      <c r="F47" s="57"/>
      <c r="G47" s="57"/>
      <c r="H47" s="57"/>
      <c r="I47" s="57"/>
      <c r="J47" s="57"/>
      <c r="K47" s="57"/>
    </row>
    <row r="48" spans="1:11" x14ac:dyDescent="0.3">
      <c r="B48" s="57"/>
      <c r="C48" s="57"/>
      <c r="D48" s="57"/>
      <c r="E48" s="57"/>
      <c r="F48" s="57"/>
      <c r="G48" s="57"/>
      <c r="H48" s="57"/>
      <c r="I48" s="57"/>
      <c r="J48" s="57"/>
      <c r="K48" s="57"/>
    </row>
    <row r="49" spans="2:11" x14ac:dyDescent="0.3">
      <c r="B49" s="57"/>
      <c r="C49" s="57"/>
      <c r="D49" s="57"/>
      <c r="E49" s="57"/>
      <c r="F49" s="57"/>
      <c r="G49" s="57"/>
      <c r="H49" s="57"/>
      <c r="I49" s="57"/>
      <c r="J49" s="57"/>
      <c r="K49" s="57"/>
    </row>
    <row r="50" spans="2:11" x14ac:dyDescent="0.3">
      <c r="B50" s="57"/>
      <c r="C50" s="57"/>
      <c r="D50" s="57"/>
      <c r="E50" s="57"/>
      <c r="F50" s="57"/>
      <c r="G50" s="57"/>
      <c r="H50" s="57"/>
      <c r="I50" s="57"/>
      <c r="J50" s="57"/>
      <c r="K50" s="57"/>
    </row>
    <row r="51" spans="2:11" x14ac:dyDescent="0.3">
      <c r="B51" s="57"/>
      <c r="C51" s="57"/>
      <c r="D51" s="57"/>
      <c r="E51" s="57"/>
      <c r="F51" s="57"/>
      <c r="G51" s="57"/>
      <c r="H51" s="57"/>
      <c r="I51" s="57"/>
      <c r="J51" s="57"/>
      <c r="K51" s="57"/>
    </row>
    <row r="52" spans="2:11" x14ac:dyDescent="0.3">
      <c r="B52" s="57"/>
      <c r="C52" s="57"/>
      <c r="D52" s="57"/>
      <c r="E52" s="57"/>
      <c r="F52" s="57"/>
      <c r="G52" s="57"/>
      <c r="H52" s="57"/>
      <c r="I52" s="57"/>
      <c r="J52" s="57"/>
      <c r="K52" s="57"/>
    </row>
    <row r="53" spans="2:11" x14ac:dyDescent="0.3">
      <c r="B53" s="57"/>
      <c r="C53" s="57"/>
      <c r="D53" s="57"/>
      <c r="E53" s="57"/>
      <c r="F53" s="57"/>
      <c r="G53" s="57"/>
      <c r="H53" s="57"/>
      <c r="I53" s="57"/>
      <c r="J53" s="57"/>
      <c r="K53" s="57"/>
    </row>
    <row r="54" spans="2:11" x14ac:dyDescent="0.3">
      <c r="B54" s="57"/>
      <c r="C54" s="57"/>
      <c r="D54" s="57"/>
      <c r="E54" s="57"/>
      <c r="F54" s="57"/>
      <c r="G54" s="57"/>
      <c r="H54" s="57"/>
      <c r="I54" s="57"/>
      <c r="J54" s="57"/>
      <c r="K54" s="57"/>
    </row>
    <row r="55" spans="2:11" x14ac:dyDescent="0.3">
      <c r="B55" s="57"/>
      <c r="C55" s="57"/>
      <c r="D55" s="57"/>
      <c r="E55" s="57"/>
      <c r="F55" s="57"/>
      <c r="G55" s="57"/>
      <c r="H55" s="57"/>
      <c r="I55" s="57"/>
      <c r="J55" s="57"/>
      <c r="K55" s="57"/>
    </row>
    <row r="56" spans="2:11" x14ac:dyDescent="0.3">
      <c r="B56" s="57"/>
      <c r="C56" s="57"/>
      <c r="D56" s="57"/>
      <c r="E56" s="57"/>
      <c r="F56" s="57"/>
      <c r="G56" s="57"/>
      <c r="H56" s="57"/>
      <c r="I56" s="57"/>
      <c r="J56" s="57"/>
      <c r="K56" s="57"/>
    </row>
    <row r="57" spans="2:11" x14ac:dyDescent="0.3">
      <c r="B57" s="57"/>
      <c r="C57" s="57"/>
      <c r="D57" s="57"/>
      <c r="E57" s="57"/>
      <c r="F57" s="57"/>
      <c r="G57" s="57"/>
      <c r="H57" s="57"/>
      <c r="I57" s="57"/>
      <c r="J57" s="57"/>
      <c r="K57" s="57"/>
    </row>
    <row r="58" spans="2:11" x14ac:dyDescent="0.3">
      <c r="B58" s="57"/>
      <c r="C58" s="57"/>
      <c r="D58" s="57"/>
      <c r="E58" s="57"/>
      <c r="F58" s="57"/>
      <c r="G58" s="57"/>
      <c r="H58" s="57"/>
      <c r="I58" s="57"/>
      <c r="J58" s="57"/>
      <c r="K58" s="57"/>
    </row>
    <row r="59" spans="2:11" x14ac:dyDescent="0.3">
      <c r="B59" s="57"/>
      <c r="C59" s="57"/>
      <c r="D59" s="57"/>
      <c r="E59" s="57"/>
      <c r="F59" s="57"/>
      <c r="G59" s="57"/>
      <c r="H59" s="57"/>
      <c r="I59" s="57"/>
      <c r="J59" s="57"/>
      <c r="K59" s="57"/>
    </row>
    <row r="60" spans="2:11" x14ac:dyDescent="0.3">
      <c r="B60" s="57"/>
      <c r="C60" s="57"/>
      <c r="D60" s="57"/>
      <c r="E60" s="57"/>
      <c r="F60" s="57"/>
      <c r="G60" s="57"/>
      <c r="H60" s="57"/>
      <c r="I60" s="57"/>
      <c r="J60" s="57"/>
      <c r="K60" s="57"/>
    </row>
    <row r="61" spans="2:11" x14ac:dyDescent="0.3">
      <c r="B61" s="57"/>
      <c r="C61" s="57"/>
      <c r="D61" s="57"/>
      <c r="E61" s="57"/>
      <c r="F61" s="57"/>
      <c r="G61" s="57"/>
      <c r="H61" s="57"/>
      <c r="I61" s="57"/>
      <c r="J61" s="57"/>
      <c r="K61" s="57"/>
    </row>
    <row r="62" spans="2:11" x14ac:dyDescent="0.3">
      <c r="B62" s="57"/>
      <c r="C62" s="57"/>
      <c r="D62" s="57"/>
      <c r="E62" s="57"/>
      <c r="F62" s="57"/>
      <c r="G62" s="57"/>
      <c r="H62" s="57"/>
      <c r="I62" s="57"/>
      <c r="J62" s="57"/>
      <c r="K62" s="57"/>
    </row>
    <row r="63" spans="2:11" x14ac:dyDescent="0.3">
      <c r="B63" s="57"/>
      <c r="C63" s="57"/>
      <c r="D63" s="57"/>
      <c r="E63" s="57"/>
      <c r="F63" s="57"/>
      <c r="G63" s="57"/>
      <c r="H63" s="57"/>
      <c r="I63" s="57"/>
      <c r="J63" s="57"/>
      <c r="K63" s="57"/>
    </row>
    <row r="64" spans="2:11" x14ac:dyDescent="0.3">
      <c r="B64" s="57"/>
      <c r="C64" s="57"/>
      <c r="D64" s="57"/>
      <c r="E64" s="57"/>
      <c r="F64" s="57"/>
      <c r="G64" s="57"/>
      <c r="H64" s="57"/>
      <c r="I64" s="57"/>
      <c r="J64" s="57"/>
      <c r="K64" s="57"/>
    </row>
    <row r="65" spans="2:11" x14ac:dyDescent="0.3">
      <c r="B65" s="57"/>
      <c r="C65" s="57"/>
      <c r="D65" s="57"/>
      <c r="E65" s="57"/>
      <c r="F65" s="57"/>
      <c r="G65" s="57"/>
      <c r="H65" s="57"/>
      <c r="I65" s="57"/>
      <c r="J65" s="57"/>
      <c r="K65" s="57"/>
    </row>
    <row r="66" spans="2:11" x14ac:dyDescent="0.3">
      <c r="B66" s="57"/>
      <c r="C66" s="57"/>
      <c r="D66" s="57"/>
      <c r="E66" s="57"/>
      <c r="F66" s="57"/>
      <c r="G66" s="57"/>
      <c r="H66" s="57"/>
      <c r="I66" s="57"/>
      <c r="J66" s="57"/>
      <c r="K66" s="57"/>
    </row>
    <row r="67" spans="2:11" x14ac:dyDescent="0.3">
      <c r="B67" s="57"/>
      <c r="C67" s="57"/>
      <c r="D67" s="57"/>
      <c r="E67" s="57"/>
      <c r="F67" s="57"/>
      <c r="G67" s="57"/>
      <c r="H67" s="57"/>
      <c r="I67" s="57"/>
      <c r="J67" s="57"/>
      <c r="K67" s="57"/>
    </row>
    <row r="68" spans="2:11" x14ac:dyDescent="0.3">
      <c r="B68" s="57"/>
      <c r="C68" s="57"/>
      <c r="D68" s="57"/>
      <c r="E68" s="57"/>
      <c r="F68" s="57"/>
      <c r="G68" s="57"/>
      <c r="H68" s="57"/>
      <c r="I68" s="57"/>
      <c r="J68" s="57"/>
      <c r="K68" s="57"/>
    </row>
    <row r="69" spans="2:11" x14ac:dyDescent="0.3">
      <c r="B69" s="57"/>
      <c r="C69" s="57"/>
      <c r="D69" s="57"/>
      <c r="E69" s="57"/>
      <c r="F69" s="57"/>
      <c r="G69" s="57"/>
      <c r="H69" s="57"/>
      <c r="I69" s="57"/>
      <c r="J69" s="57"/>
      <c r="K69" s="57"/>
    </row>
    <row r="70" spans="2:11" x14ac:dyDescent="0.3">
      <c r="B70" s="57"/>
      <c r="C70" s="57"/>
      <c r="D70" s="57"/>
      <c r="E70" s="57"/>
      <c r="F70" s="57"/>
      <c r="G70" s="57"/>
      <c r="H70" s="57"/>
      <c r="I70" s="57"/>
      <c r="J70" s="57"/>
      <c r="K70" s="57"/>
    </row>
    <row r="71" spans="2:11" x14ac:dyDescent="0.3">
      <c r="B71" s="57"/>
      <c r="C71" s="57"/>
      <c r="D71" s="57"/>
      <c r="E71" s="57"/>
      <c r="F71" s="57"/>
      <c r="G71" s="57"/>
      <c r="H71" s="57"/>
      <c r="I71" s="57"/>
      <c r="J71" s="57"/>
      <c r="K71" s="57"/>
    </row>
    <row r="72" spans="2:11" x14ac:dyDescent="0.3">
      <c r="B72" s="57"/>
      <c r="C72" s="57"/>
      <c r="D72" s="57"/>
      <c r="E72" s="57"/>
      <c r="F72" s="57"/>
      <c r="G72" s="57"/>
      <c r="H72" s="57"/>
      <c r="I72" s="57"/>
      <c r="J72" s="57"/>
      <c r="K72" s="57"/>
    </row>
    <row r="73" spans="2:11" x14ac:dyDescent="0.3">
      <c r="B73" s="57"/>
      <c r="C73" s="57"/>
      <c r="D73" s="57"/>
      <c r="E73" s="57"/>
      <c r="F73" s="57"/>
      <c r="G73" s="57"/>
      <c r="H73" s="57"/>
      <c r="I73" s="57"/>
      <c r="J73" s="57"/>
      <c r="K73" s="57"/>
    </row>
    <row r="74" spans="2:11" x14ac:dyDescent="0.3">
      <c r="B74" s="57"/>
      <c r="C74" s="57"/>
      <c r="D74" s="57"/>
      <c r="E74" s="57"/>
      <c r="F74" s="57"/>
      <c r="G74" s="57"/>
      <c r="H74" s="57"/>
      <c r="I74" s="57"/>
      <c r="J74" s="57"/>
      <c r="K74" s="57"/>
    </row>
    <row r="75" spans="2:11" x14ac:dyDescent="0.3">
      <c r="B75" s="57"/>
      <c r="C75" s="57"/>
      <c r="D75" s="57"/>
      <c r="E75" s="57"/>
      <c r="F75" s="57"/>
      <c r="G75" s="57"/>
      <c r="H75" s="57"/>
      <c r="I75" s="57"/>
      <c r="J75" s="57"/>
      <c r="K75" s="57"/>
    </row>
    <row r="76" spans="2:11" x14ac:dyDescent="0.3">
      <c r="B76" s="57"/>
      <c r="C76" s="57"/>
      <c r="D76" s="57"/>
      <c r="E76" s="57"/>
      <c r="F76" s="57"/>
      <c r="G76" s="57"/>
      <c r="H76" s="57"/>
      <c r="I76" s="57"/>
      <c r="J76" s="57"/>
      <c r="K76" s="57"/>
    </row>
    <row r="77" spans="2:11" x14ac:dyDescent="0.3">
      <c r="B77" s="57"/>
      <c r="C77" s="57"/>
      <c r="D77" s="57"/>
      <c r="E77" s="57"/>
      <c r="F77" s="57"/>
      <c r="G77" s="57"/>
      <c r="H77" s="57"/>
      <c r="I77" s="57"/>
      <c r="J77" s="57"/>
      <c r="K77" s="57"/>
    </row>
    <row r="78" spans="2:11" x14ac:dyDescent="0.3">
      <c r="B78" s="57"/>
      <c r="C78" s="57"/>
      <c r="D78" s="57"/>
      <c r="E78" s="57"/>
      <c r="F78" s="57"/>
      <c r="G78" s="57"/>
      <c r="H78" s="57"/>
      <c r="I78" s="57"/>
      <c r="J78" s="57"/>
      <c r="K78" s="57"/>
    </row>
    <row r="79" spans="2:11" x14ac:dyDescent="0.3">
      <c r="B79" s="57"/>
      <c r="C79" s="57"/>
      <c r="D79" s="57"/>
      <c r="E79" s="57"/>
      <c r="F79" s="57"/>
      <c r="G79" s="57"/>
      <c r="H79" s="57"/>
      <c r="I79" s="57"/>
      <c r="J79" s="57"/>
      <c r="K79" s="57"/>
    </row>
    <row r="80" spans="2:11" x14ac:dyDescent="0.3">
      <c r="B80" s="57"/>
      <c r="C80" s="57"/>
      <c r="D80" s="57"/>
      <c r="E80" s="57"/>
      <c r="F80" s="57"/>
      <c r="G80" s="57"/>
      <c r="H80" s="57"/>
      <c r="I80" s="57"/>
      <c r="J80" s="57"/>
      <c r="K80" s="57"/>
    </row>
    <row r="81" spans="2:11" x14ac:dyDescent="0.3">
      <c r="B81" s="57"/>
      <c r="C81" s="57"/>
      <c r="D81" s="57"/>
      <c r="E81" s="57"/>
      <c r="F81" s="57"/>
      <c r="G81" s="57"/>
      <c r="H81" s="57"/>
      <c r="I81" s="57"/>
      <c r="J81" s="57"/>
      <c r="K81" s="57"/>
    </row>
    <row r="82" spans="2:11" x14ac:dyDescent="0.3">
      <c r="B82" s="57"/>
      <c r="C82" s="57"/>
      <c r="D82" s="57"/>
      <c r="E82" s="57"/>
      <c r="F82" s="57"/>
      <c r="G82" s="57"/>
      <c r="H82" s="57"/>
      <c r="I82" s="57"/>
      <c r="J82" s="57"/>
      <c r="K82" s="57"/>
    </row>
    <row r="83" spans="2:11" x14ac:dyDescent="0.3">
      <c r="B83" s="57"/>
      <c r="C83" s="57"/>
      <c r="D83" s="57"/>
      <c r="E83" s="57"/>
      <c r="F83" s="57"/>
      <c r="G83" s="57"/>
      <c r="H83" s="57"/>
      <c r="I83" s="57"/>
      <c r="J83" s="57"/>
      <c r="K83" s="57"/>
    </row>
  </sheetData>
  <mergeCells count="1">
    <mergeCell ref="B47:K83"/>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B333-0EF2-4C7D-816C-73F27FD7B4D1}">
  <dimension ref="A1:J41"/>
  <sheetViews>
    <sheetView tabSelected="1" workbookViewId="0">
      <selection activeCell="K7" sqref="K7"/>
    </sheetView>
  </sheetViews>
  <sheetFormatPr defaultColWidth="11.33203125" defaultRowHeight="14.4" x14ac:dyDescent="0.3"/>
  <cols>
    <col min="2" max="2" width="20.88671875" customWidth="1"/>
    <col min="3" max="3" width="15.21875" customWidth="1"/>
    <col min="4" max="4" width="14.6640625" customWidth="1"/>
    <col min="5" max="5" width="20.109375" customWidth="1"/>
    <col min="6" max="6" width="17.21875" customWidth="1"/>
    <col min="7" max="7" width="11.77734375" customWidth="1"/>
    <col min="9" max="9" width="13.109375" customWidth="1"/>
  </cols>
  <sheetData>
    <row r="1" spans="1:10" x14ac:dyDescent="0.3">
      <c r="A1" s="40" t="s">
        <v>0</v>
      </c>
      <c r="B1" s="41" t="s">
        <v>1</v>
      </c>
      <c r="C1" s="41" t="s">
        <v>2</v>
      </c>
      <c r="D1" s="41" t="s">
        <v>3</v>
      </c>
      <c r="E1" s="41" t="s">
        <v>81</v>
      </c>
      <c r="F1" s="41" t="s">
        <v>79</v>
      </c>
      <c r="G1" s="41" t="s">
        <v>4</v>
      </c>
      <c r="H1" s="41" t="s">
        <v>5</v>
      </c>
      <c r="I1" s="41" t="s">
        <v>6</v>
      </c>
      <c r="J1" s="42" t="s">
        <v>7</v>
      </c>
    </row>
    <row r="2" spans="1:10" x14ac:dyDescent="0.3">
      <c r="A2" s="43">
        <v>1001</v>
      </c>
      <c r="B2" s="44" t="s">
        <v>8</v>
      </c>
      <c r="C2" s="44" t="s">
        <v>48</v>
      </c>
      <c r="D2" s="45">
        <v>75000</v>
      </c>
      <c r="E2" s="45">
        <v>75000</v>
      </c>
      <c r="F2" s="45">
        <f>IF(ISBLANK(E2),AVERAGE($E$2:$E$41),E2)</f>
        <v>75000</v>
      </c>
      <c r="G2" s="45">
        <v>5</v>
      </c>
      <c r="H2" s="45">
        <v>0.1</v>
      </c>
      <c r="I2" s="44" t="s">
        <v>9</v>
      </c>
      <c r="J2" s="46" t="s">
        <v>10</v>
      </c>
    </row>
    <row r="3" spans="1:10" x14ac:dyDescent="0.3">
      <c r="A3" s="47">
        <v>1002</v>
      </c>
      <c r="B3" s="48" t="s">
        <v>8</v>
      </c>
      <c r="C3" s="48" t="s">
        <v>63</v>
      </c>
      <c r="D3" s="49">
        <v>75000</v>
      </c>
      <c r="E3" s="49">
        <v>75000</v>
      </c>
      <c r="F3" s="45">
        <f>IF(ISBLANK(E3),AVERAGE($E$2:$E$41),E3)</f>
        <v>75000</v>
      </c>
      <c r="G3" s="49">
        <v>5</v>
      </c>
      <c r="H3" s="49">
        <v>0.1</v>
      </c>
      <c r="I3" s="48" t="s">
        <v>9</v>
      </c>
      <c r="J3" s="50" t="s">
        <v>10</v>
      </c>
    </row>
    <row r="4" spans="1:10" x14ac:dyDescent="0.3">
      <c r="A4" s="43">
        <v>1003</v>
      </c>
      <c r="B4" s="44" t="s">
        <v>12</v>
      </c>
      <c r="C4" s="44" t="s">
        <v>64</v>
      </c>
      <c r="D4" s="45">
        <v>12500</v>
      </c>
      <c r="E4" s="45">
        <v>12500</v>
      </c>
      <c r="F4" s="45">
        <f>IF(ISBLANK(E4),AVERAGE($E$2:$E$41),E4)</f>
        <v>12500</v>
      </c>
      <c r="G4" s="45">
        <v>10</v>
      </c>
      <c r="H4" s="45">
        <v>0.05</v>
      </c>
      <c r="I4" s="44" t="s">
        <v>13</v>
      </c>
      <c r="J4" s="46" t="s">
        <v>10</v>
      </c>
    </row>
    <row r="5" spans="1:10" x14ac:dyDescent="0.3">
      <c r="A5" s="47">
        <v>1004</v>
      </c>
      <c r="B5" s="48" t="s">
        <v>12</v>
      </c>
      <c r="C5" s="48" t="s">
        <v>64</v>
      </c>
      <c r="D5" s="49">
        <v>12500</v>
      </c>
      <c r="E5" s="49">
        <v>12500</v>
      </c>
      <c r="F5" s="45">
        <f>IF(ISBLANK(E5),AVERAGE($E$2:$E$41),E5)</f>
        <v>12500</v>
      </c>
      <c r="G5" s="49">
        <v>10</v>
      </c>
      <c r="H5" s="49">
        <v>0.05</v>
      </c>
      <c r="I5" s="48" t="s">
        <v>13</v>
      </c>
      <c r="J5" s="50" t="s">
        <v>10</v>
      </c>
    </row>
    <row r="6" spans="1:10" x14ac:dyDescent="0.3">
      <c r="A6" s="43">
        <v>1005</v>
      </c>
      <c r="B6" s="44" t="s">
        <v>15</v>
      </c>
      <c r="C6" s="44" t="s">
        <v>65</v>
      </c>
      <c r="D6" s="45">
        <v>1200</v>
      </c>
      <c r="E6" s="45">
        <v>1200</v>
      </c>
      <c r="F6" s="45">
        <f>IF(ISBLANK(E6),AVERAGE($E$2:$E$41),E6)</f>
        <v>1200</v>
      </c>
      <c r="G6" s="45">
        <v>20</v>
      </c>
      <c r="H6" s="45">
        <v>0.08</v>
      </c>
      <c r="I6" s="44" t="s">
        <v>16</v>
      </c>
      <c r="J6" s="46" t="s">
        <v>10</v>
      </c>
    </row>
    <row r="7" spans="1:10" x14ac:dyDescent="0.3">
      <c r="A7" s="47">
        <v>1006</v>
      </c>
      <c r="B7" s="48" t="s">
        <v>15</v>
      </c>
      <c r="C7" s="48" t="s">
        <v>65</v>
      </c>
      <c r="D7" s="49">
        <v>1200</v>
      </c>
      <c r="E7" s="49"/>
      <c r="F7" s="45">
        <f>IF(ISBLANK(E7),AVERAGE($E$2:$E$41),E7)</f>
        <v>23509.722222222223</v>
      </c>
      <c r="G7" s="49">
        <v>20</v>
      </c>
      <c r="H7" s="49">
        <v>0.08</v>
      </c>
      <c r="I7" s="48" t="s">
        <v>16</v>
      </c>
      <c r="J7" s="50" t="s">
        <v>10</v>
      </c>
    </row>
    <row r="8" spans="1:10" x14ac:dyDescent="0.3">
      <c r="A8" s="43">
        <v>1007</v>
      </c>
      <c r="B8" s="44" t="s">
        <v>17</v>
      </c>
      <c r="C8" s="44" t="s">
        <v>18</v>
      </c>
      <c r="D8" s="45">
        <v>2500</v>
      </c>
      <c r="E8" s="45">
        <v>2500</v>
      </c>
      <c r="F8" s="45">
        <f>IF(ISBLANK(E8),AVERAGE($E$2:$E$41),E8)</f>
        <v>2500</v>
      </c>
      <c r="G8" s="45">
        <v>15</v>
      </c>
      <c r="H8" s="45">
        <v>0</v>
      </c>
      <c r="I8" s="44" t="s">
        <v>19</v>
      </c>
      <c r="J8" s="46" t="s">
        <v>10</v>
      </c>
    </row>
    <row r="9" spans="1:10" x14ac:dyDescent="0.3">
      <c r="A9" s="47">
        <v>1008</v>
      </c>
      <c r="B9" s="48" t="s">
        <v>17</v>
      </c>
      <c r="C9" s="48" t="s">
        <v>18</v>
      </c>
      <c r="D9" s="49">
        <v>2500</v>
      </c>
      <c r="E9" s="49">
        <v>2500</v>
      </c>
      <c r="F9" s="45">
        <f>IF(ISBLANK(E9),AVERAGE($E$2:$E$41),E9)</f>
        <v>2500</v>
      </c>
      <c r="G9" s="49">
        <v>15</v>
      </c>
      <c r="H9" s="49">
        <v>0</v>
      </c>
      <c r="I9" s="48" t="s">
        <v>19</v>
      </c>
      <c r="J9" s="50" t="s">
        <v>10</v>
      </c>
    </row>
    <row r="10" spans="1:10" x14ac:dyDescent="0.3">
      <c r="A10" s="43">
        <v>1009</v>
      </c>
      <c r="B10" s="44" t="s">
        <v>20</v>
      </c>
      <c r="C10" s="44" t="s">
        <v>66</v>
      </c>
      <c r="D10" s="45">
        <v>18000</v>
      </c>
      <c r="E10" s="45">
        <v>18000</v>
      </c>
      <c r="F10" s="45">
        <f>IF(ISBLANK(E10),AVERAGE($E$2:$E$41),E10)</f>
        <v>18000</v>
      </c>
      <c r="G10" s="45">
        <v>8</v>
      </c>
      <c r="H10" s="45">
        <v>0.12</v>
      </c>
      <c r="I10" s="44" t="s">
        <v>9</v>
      </c>
      <c r="J10" s="46" t="s">
        <v>10</v>
      </c>
    </row>
    <row r="11" spans="1:10" x14ac:dyDescent="0.3">
      <c r="A11" s="47">
        <v>1010</v>
      </c>
      <c r="B11" s="48" t="s">
        <v>20</v>
      </c>
      <c r="C11" s="48" t="s">
        <v>66</v>
      </c>
      <c r="D11" s="49">
        <v>18000</v>
      </c>
      <c r="E11" s="49">
        <v>18000</v>
      </c>
      <c r="F11" s="45">
        <f>IF(ISBLANK(E11),AVERAGE($E$2:$E$41),E11)</f>
        <v>18000</v>
      </c>
      <c r="G11" s="49">
        <v>8</v>
      </c>
      <c r="H11" s="49">
        <v>0.12</v>
      </c>
      <c r="I11" s="48" t="s">
        <v>9</v>
      </c>
      <c r="J11" s="50" t="s">
        <v>10</v>
      </c>
    </row>
    <row r="12" spans="1:10" x14ac:dyDescent="0.3">
      <c r="A12" s="43">
        <v>1011</v>
      </c>
      <c r="B12" s="44" t="s">
        <v>21</v>
      </c>
      <c r="C12" s="44" t="s">
        <v>22</v>
      </c>
      <c r="D12" s="45">
        <v>22500</v>
      </c>
      <c r="E12" s="45">
        <v>22500</v>
      </c>
      <c r="F12" s="45">
        <f>IF(ISBLANK(E12),AVERAGE($E$2:$E$41),E12)</f>
        <v>22500</v>
      </c>
      <c r="G12" s="45">
        <v>3</v>
      </c>
      <c r="H12" s="45">
        <v>0.15</v>
      </c>
      <c r="I12" s="44" t="s">
        <v>13</v>
      </c>
      <c r="J12" s="46" t="s">
        <v>10</v>
      </c>
    </row>
    <row r="13" spans="1:10" x14ac:dyDescent="0.3">
      <c r="A13" s="47">
        <v>1012</v>
      </c>
      <c r="B13" s="48" t="s">
        <v>21</v>
      </c>
      <c r="C13" s="48" t="s">
        <v>22</v>
      </c>
      <c r="D13" s="49">
        <v>22500</v>
      </c>
      <c r="E13" s="49">
        <v>22500</v>
      </c>
      <c r="F13" s="45">
        <f>IF(ISBLANK(E13),AVERAGE($E$2:$E$41),E13)</f>
        <v>22500</v>
      </c>
      <c r="G13" s="49">
        <v>3</v>
      </c>
      <c r="H13" s="49">
        <v>0.15</v>
      </c>
      <c r="I13" s="48" t="s">
        <v>13</v>
      </c>
      <c r="J13" s="50" t="s">
        <v>10</v>
      </c>
    </row>
    <row r="14" spans="1:10" x14ac:dyDescent="0.3">
      <c r="A14" s="43">
        <v>1013</v>
      </c>
      <c r="B14" s="44" t="s">
        <v>24</v>
      </c>
      <c r="C14" s="44" t="s">
        <v>67</v>
      </c>
      <c r="D14" s="45">
        <v>450</v>
      </c>
      <c r="E14" s="45">
        <v>450</v>
      </c>
      <c r="F14" s="45">
        <f>IF(ISBLANK(E14),AVERAGE($E$2:$E$41),E14)</f>
        <v>450</v>
      </c>
      <c r="G14" s="45">
        <v>30</v>
      </c>
      <c r="H14" s="45">
        <v>0.05</v>
      </c>
      <c r="I14" s="44" t="s">
        <v>16</v>
      </c>
      <c r="J14" s="46" t="s">
        <v>10</v>
      </c>
    </row>
    <row r="15" spans="1:10" x14ac:dyDescent="0.3">
      <c r="A15" s="47">
        <v>1014</v>
      </c>
      <c r="B15" s="48" t="s">
        <v>24</v>
      </c>
      <c r="C15" s="48" t="s">
        <v>67</v>
      </c>
      <c r="D15" s="49">
        <v>450</v>
      </c>
      <c r="E15" s="49"/>
      <c r="F15" s="45">
        <f>IF(ISBLANK(E15),AVERAGE($E$2:$E$41),E15)</f>
        <v>23509.722222222223</v>
      </c>
      <c r="G15" s="49">
        <v>30</v>
      </c>
      <c r="H15" s="49">
        <v>0.05</v>
      </c>
      <c r="I15" s="48" t="s">
        <v>16</v>
      </c>
      <c r="J15" s="50" t="s">
        <v>10</v>
      </c>
    </row>
    <row r="16" spans="1:10" x14ac:dyDescent="0.3">
      <c r="A16" s="43">
        <v>1015</v>
      </c>
      <c r="B16" s="44" t="s">
        <v>25</v>
      </c>
      <c r="C16" s="44" t="s">
        <v>26</v>
      </c>
      <c r="D16" s="45">
        <v>3500</v>
      </c>
      <c r="E16" s="45">
        <v>3500</v>
      </c>
      <c r="F16" s="45">
        <f>IF(ISBLANK(E16),AVERAGE($E$2:$E$41),E16)</f>
        <v>3500</v>
      </c>
      <c r="G16" s="45">
        <v>12</v>
      </c>
      <c r="H16" s="45">
        <v>0.1</v>
      </c>
      <c r="I16" s="44" t="s">
        <v>19</v>
      </c>
      <c r="J16" s="46" t="s">
        <v>10</v>
      </c>
    </row>
    <row r="17" spans="1:10" x14ac:dyDescent="0.3">
      <c r="A17" s="47">
        <v>1016</v>
      </c>
      <c r="B17" s="48" t="s">
        <v>25</v>
      </c>
      <c r="C17" s="48" t="s">
        <v>26</v>
      </c>
      <c r="D17" s="49">
        <v>3500</v>
      </c>
      <c r="E17" s="49">
        <v>3500</v>
      </c>
      <c r="F17" s="45">
        <f>IF(ISBLANK(E17),AVERAGE($E$2:$E$41),E17)</f>
        <v>3500</v>
      </c>
      <c r="G17" s="49">
        <v>12</v>
      </c>
      <c r="H17" s="49">
        <v>0.1</v>
      </c>
      <c r="I17" s="48" t="s">
        <v>19</v>
      </c>
      <c r="J17" s="50" t="s">
        <v>10</v>
      </c>
    </row>
    <row r="18" spans="1:10" x14ac:dyDescent="0.3">
      <c r="A18" s="43">
        <v>1017</v>
      </c>
      <c r="B18" s="44" t="s">
        <v>27</v>
      </c>
      <c r="C18" s="44" t="s">
        <v>28</v>
      </c>
      <c r="D18" s="45">
        <v>25000</v>
      </c>
      <c r="E18" s="45">
        <v>25000</v>
      </c>
      <c r="F18" s="45">
        <f>IF(ISBLANK(E18),AVERAGE($E$2:$E$41),E18)</f>
        <v>25000</v>
      </c>
      <c r="G18" s="45">
        <v>6</v>
      </c>
      <c r="H18" s="45">
        <v>0.2</v>
      </c>
      <c r="I18" s="44" t="s">
        <v>9</v>
      </c>
      <c r="J18" s="46" t="s">
        <v>10</v>
      </c>
    </row>
    <row r="19" spans="1:10" x14ac:dyDescent="0.3">
      <c r="A19" s="47">
        <v>1018</v>
      </c>
      <c r="B19" s="48" t="s">
        <v>27</v>
      </c>
      <c r="C19" s="48" t="s">
        <v>28</v>
      </c>
      <c r="D19" s="49">
        <v>25000</v>
      </c>
      <c r="E19" s="49">
        <v>25000</v>
      </c>
      <c r="F19" s="45">
        <f>IF(ISBLANK(E19),AVERAGE($E$2:$E$41),E19)</f>
        <v>25000</v>
      </c>
      <c r="G19" s="49">
        <v>6</v>
      </c>
      <c r="H19" s="49">
        <v>0.2</v>
      </c>
      <c r="I19" s="48" t="s">
        <v>9</v>
      </c>
      <c r="J19" s="50" t="s">
        <v>10</v>
      </c>
    </row>
    <row r="20" spans="1:10" x14ac:dyDescent="0.3">
      <c r="A20" s="43">
        <v>1019</v>
      </c>
      <c r="B20" s="44" t="s">
        <v>29</v>
      </c>
      <c r="C20" s="44" t="s">
        <v>68</v>
      </c>
      <c r="D20" s="45">
        <v>4500</v>
      </c>
      <c r="E20" s="45">
        <v>4500</v>
      </c>
      <c r="F20" s="45">
        <f>IF(ISBLANK(E20),AVERAGE($E$2:$E$41),E20)</f>
        <v>4500</v>
      </c>
      <c r="G20" s="45">
        <v>18</v>
      </c>
      <c r="H20" s="45">
        <v>7.0000000000000007E-2</v>
      </c>
      <c r="I20" s="44" t="s">
        <v>13</v>
      </c>
      <c r="J20" s="46" t="s">
        <v>10</v>
      </c>
    </row>
    <row r="21" spans="1:10" x14ac:dyDescent="0.3">
      <c r="A21" s="47">
        <v>1020</v>
      </c>
      <c r="B21" s="48" t="s">
        <v>29</v>
      </c>
      <c r="C21" s="48" t="s">
        <v>32</v>
      </c>
      <c r="D21" s="49">
        <v>4500</v>
      </c>
      <c r="E21" s="49">
        <v>4500</v>
      </c>
      <c r="F21" s="45">
        <f>IF(ISBLANK(E21),AVERAGE($E$2:$E$41),E21)</f>
        <v>4500</v>
      </c>
      <c r="G21" s="49">
        <v>18</v>
      </c>
      <c r="H21" s="49">
        <v>7.0000000000000007E-2</v>
      </c>
      <c r="I21" s="48" t="s">
        <v>13</v>
      </c>
      <c r="J21" s="50" t="s">
        <v>10</v>
      </c>
    </row>
    <row r="22" spans="1:10" x14ac:dyDescent="0.3">
      <c r="A22" s="43">
        <v>1021</v>
      </c>
      <c r="B22" s="44" t="s">
        <v>8</v>
      </c>
      <c r="C22" s="44" t="s">
        <v>63</v>
      </c>
      <c r="D22" s="45">
        <v>75000</v>
      </c>
      <c r="E22" s="45">
        <v>75000</v>
      </c>
      <c r="F22" s="45">
        <f>IF(ISBLANK(E22),AVERAGE($E$2:$E$41),E22)</f>
        <v>75000</v>
      </c>
      <c r="G22" s="45">
        <v>5</v>
      </c>
      <c r="H22" s="45">
        <v>0.1</v>
      </c>
      <c r="I22" s="44" t="s">
        <v>9</v>
      </c>
      <c r="J22" s="46" t="s">
        <v>33</v>
      </c>
    </row>
    <row r="23" spans="1:10" x14ac:dyDescent="0.3">
      <c r="A23" s="47">
        <v>1022</v>
      </c>
      <c r="B23" s="48" t="s">
        <v>15</v>
      </c>
      <c r="C23" s="48" t="s">
        <v>65</v>
      </c>
      <c r="D23" s="49">
        <v>1200</v>
      </c>
      <c r="E23" s="49">
        <v>1200</v>
      </c>
      <c r="F23" s="45">
        <f>IF(ISBLANK(E23),AVERAGE($E$2:$E$41),E23)</f>
        <v>1200</v>
      </c>
      <c r="G23" s="49">
        <v>20</v>
      </c>
      <c r="H23" s="49">
        <v>0.08</v>
      </c>
      <c r="I23" s="48" t="s">
        <v>16</v>
      </c>
      <c r="J23" s="50" t="s">
        <v>33</v>
      </c>
    </row>
    <row r="24" spans="1:10" x14ac:dyDescent="0.3">
      <c r="A24" s="43">
        <v>1023</v>
      </c>
      <c r="B24" s="44" t="s">
        <v>17</v>
      </c>
      <c r="C24" s="44" t="s">
        <v>18</v>
      </c>
      <c r="D24" s="45">
        <v>2500</v>
      </c>
      <c r="E24" s="45"/>
      <c r="F24" s="45">
        <f>IF(ISBLANK(E24),AVERAGE($E$2:$E$41),E24)</f>
        <v>23509.722222222223</v>
      </c>
      <c r="G24" s="45">
        <v>15</v>
      </c>
      <c r="H24" s="45">
        <v>0</v>
      </c>
      <c r="I24" s="44" t="s">
        <v>19</v>
      </c>
      <c r="J24" s="46" t="s">
        <v>33</v>
      </c>
    </row>
    <row r="25" spans="1:10" x14ac:dyDescent="0.3">
      <c r="A25" s="47">
        <v>1024</v>
      </c>
      <c r="B25" s="48" t="s">
        <v>21</v>
      </c>
      <c r="C25" s="48" t="s">
        <v>22</v>
      </c>
      <c r="D25" s="49">
        <v>22500</v>
      </c>
      <c r="E25" s="49">
        <v>22500</v>
      </c>
      <c r="F25" s="45">
        <f>IF(ISBLANK(E25),AVERAGE($E$2:$E$41),E25)</f>
        <v>22500</v>
      </c>
      <c r="G25" s="49">
        <v>3</v>
      </c>
      <c r="H25" s="49">
        <v>0.15</v>
      </c>
      <c r="I25" s="48" t="s">
        <v>13</v>
      </c>
      <c r="J25" s="50" t="s">
        <v>33</v>
      </c>
    </row>
    <row r="26" spans="1:10" x14ac:dyDescent="0.3">
      <c r="A26" s="43">
        <v>1025</v>
      </c>
      <c r="B26" s="44" t="s">
        <v>34</v>
      </c>
      <c r="C26" s="44" t="s">
        <v>69</v>
      </c>
      <c r="D26" s="45">
        <v>85000</v>
      </c>
      <c r="E26" s="45">
        <v>85000</v>
      </c>
      <c r="F26" s="45">
        <f>IF(ISBLANK(E26),AVERAGE($E$2:$E$41),E26)</f>
        <v>85000</v>
      </c>
      <c r="G26" s="45">
        <v>4</v>
      </c>
      <c r="H26" s="45">
        <v>0.18</v>
      </c>
      <c r="I26" s="44" t="s">
        <v>9</v>
      </c>
      <c r="J26" s="46" t="s">
        <v>10</v>
      </c>
    </row>
    <row r="27" spans="1:10" x14ac:dyDescent="0.3">
      <c r="A27" s="47">
        <v>1026</v>
      </c>
      <c r="B27" s="48" t="s">
        <v>34</v>
      </c>
      <c r="C27" s="48" t="s">
        <v>69</v>
      </c>
      <c r="D27" s="49">
        <v>85000</v>
      </c>
      <c r="E27" s="49">
        <v>85000</v>
      </c>
      <c r="F27" s="45">
        <f>IF(ISBLANK(E27),AVERAGE($E$2:$E$41),E27)</f>
        <v>85000</v>
      </c>
      <c r="G27" s="49">
        <v>4</v>
      </c>
      <c r="H27" s="49">
        <v>0.18</v>
      </c>
      <c r="I27" s="48" t="s">
        <v>9</v>
      </c>
      <c r="J27" s="50" t="s">
        <v>10</v>
      </c>
    </row>
    <row r="28" spans="1:10" x14ac:dyDescent="0.3">
      <c r="A28" s="43">
        <v>1027</v>
      </c>
      <c r="B28" s="44" t="s">
        <v>35</v>
      </c>
      <c r="C28" s="44" t="s">
        <v>36</v>
      </c>
      <c r="D28" s="45">
        <v>15000</v>
      </c>
      <c r="E28" s="45">
        <v>15000</v>
      </c>
      <c r="F28" s="45">
        <f>IF(ISBLANK(E28),AVERAGE($E$2:$E$41),E28)</f>
        <v>15000</v>
      </c>
      <c r="G28" s="45">
        <v>7</v>
      </c>
      <c r="H28" s="45">
        <v>0.05</v>
      </c>
      <c r="I28" s="44" t="s">
        <v>13</v>
      </c>
      <c r="J28" s="46" t="s">
        <v>10</v>
      </c>
    </row>
    <row r="29" spans="1:10" x14ac:dyDescent="0.3">
      <c r="A29" s="47">
        <v>1028</v>
      </c>
      <c r="B29" s="48" t="s">
        <v>35</v>
      </c>
      <c r="C29" s="48" t="s">
        <v>36</v>
      </c>
      <c r="D29" s="49">
        <v>15000</v>
      </c>
      <c r="E29" s="49">
        <v>15000</v>
      </c>
      <c r="F29" s="45">
        <f>IF(ISBLANK(E29),AVERAGE($E$2:$E$41),E29)</f>
        <v>15000</v>
      </c>
      <c r="G29" s="49">
        <v>7</v>
      </c>
      <c r="H29" s="49">
        <v>0.05</v>
      </c>
      <c r="I29" s="48" t="s">
        <v>13</v>
      </c>
      <c r="J29" s="50" t="s">
        <v>10</v>
      </c>
    </row>
    <row r="30" spans="1:10" x14ac:dyDescent="0.3">
      <c r="A30" s="43">
        <v>1029</v>
      </c>
      <c r="B30" s="44" t="s">
        <v>37</v>
      </c>
      <c r="C30" s="44" t="s">
        <v>74</v>
      </c>
      <c r="D30" s="45">
        <v>8000</v>
      </c>
      <c r="E30" s="45">
        <v>8000</v>
      </c>
      <c r="F30" s="45">
        <f>IF(ISBLANK(E30),AVERAGE($E$2:$E$41),E30)</f>
        <v>8000</v>
      </c>
      <c r="G30" s="45">
        <v>9</v>
      </c>
      <c r="H30" s="45">
        <v>0.1</v>
      </c>
      <c r="I30" s="44" t="s">
        <v>16</v>
      </c>
      <c r="J30" s="46" t="s">
        <v>10</v>
      </c>
    </row>
    <row r="31" spans="1:10" x14ac:dyDescent="0.3">
      <c r="A31" s="47">
        <v>1030</v>
      </c>
      <c r="B31" s="48" t="s">
        <v>37</v>
      </c>
      <c r="C31" s="48" t="s">
        <v>74</v>
      </c>
      <c r="D31" s="49"/>
      <c r="E31" s="49"/>
      <c r="F31" s="45">
        <f>IF(ISBLANK(E31),AVERAGE($E$2:$E$41),E31)</f>
        <v>23509.722222222223</v>
      </c>
      <c r="G31" s="49">
        <v>9</v>
      </c>
      <c r="H31" s="49">
        <v>0.1</v>
      </c>
      <c r="I31" s="48" t="s">
        <v>16</v>
      </c>
      <c r="J31" s="50" t="s">
        <v>10</v>
      </c>
    </row>
    <row r="32" spans="1:10" x14ac:dyDescent="0.3">
      <c r="A32" s="43">
        <v>1031</v>
      </c>
      <c r="B32" s="44" t="s">
        <v>39</v>
      </c>
      <c r="C32" s="44" t="s">
        <v>70</v>
      </c>
      <c r="D32" s="45">
        <v>20000</v>
      </c>
      <c r="E32" s="45">
        <v>20000</v>
      </c>
      <c r="F32" s="45">
        <f>IF(ISBLANK(E32),AVERAGE($E$2:$E$41),E32)</f>
        <v>20000</v>
      </c>
      <c r="G32" s="45">
        <v>4</v>
      </c>
      <c r="H32" s="45">
        <v>0.06</v>
      </c>
      <c r="I32" s="44" t="s">
        <v>19</v>
      </c>
      <c r="J32" s="46" t="s">
        <v>10</v>
      </c>
    </row>
    <row r="33" spans="1:10" x14ac:dyDescent="0.3">
      <c r="A33" s="47">
        <v>1032</v>
      </c>
      <c r="B33" s="48" t="s">
        <v>39</v>
      </c>
      <c r="C33" s="48" t="s">
        <v>70</v>
      </c>
      <c r="D33" s="49">
        <v>20000</v>
      </c>
      <c r="E33" s="49">
        <v>20000</v>
      </c>
      <c r="F33" s="45">
        <f>IF(ISBLANK(E33),AVERAGE($E$2:$E$41),E33)</f>
        <v>20000</v>
      </c>
      <c r="G33" s="49">
        <v>4</v>
      </c>
      <c r="H33" s="49">
        <v>0.06</v>
      </c>
      <c r="I33" s="48" t="s">
        <v>19</v>
      </c>
      <c r="J33" s="50" t="s">
        <v>10</v>
      </c>
    </row>
    <row r="34" spans="1:10" x14ac:dyDescent="0.3">
      <c r="A34" s="43">
        <v>1033</v>
      </c>
      <c r="B34" s="44" t="s">
        <v>40</v>
      </c>
      <c r="C34" s="44" t="s">
        <v>75</v>
      </c>
      <c r="D34" s="45">
        <v>35000</v>
      </c>
      <c r="E34" s="45">
        <v>35000</v>
      </c>
      <c r="F34" s="45">
        <f>IF(ISBLANK(E34),AVERAGE($E$2:$E$41),E34)</f>
        <v>35000</v>
      </c>
      <c r="G34" s="45">
        <v>5</v>
      </c>
      <c r="H34" s="45">
        <v>0.12</v>
      </c>
      <c r="I34" s="44" t="s">
        <v>9</v>
      </c>
      <c r="J34" s="46" t="s">
        <v>10</v>
      </c>
    </row>
    <row r="35" spans="1:10" x14ac:dyDescent="0.3">
      <c r="A35" s="47">
        <v>1034</v>
      </c>
      <c r="B35" s="48" t="s">
        <v>40</v>
      </c>
      <c r="C35" s="48" t="s">
        <v>75</v>
      </c>
      <c r="D35" s="49">
        <v>35000</v>
      </c>
      <c r="E35" s="49">
        <v>35000</v>
      </c>
      <c r="F35" s="45">
        <f>IF(ISBLANK(E35),AVERAGE($E$2:$E$41),E35)</f>
        <v>35000</v>
      </c>
      <c r="G35" s="49">
        <v>5</v>
      </c>
      <c r="H35" s="49">
        <v>0.12</v>
      </c>
      <c r="I35" s="48" t="s">
        <v>9</v>
      </c>
      <c r="J35" s="50" t="s">
        <v>10</v>
      </c>
    </row>
    <row r="36" spans="1:10" x14ac:dyDescent="0.3">
      <c r="A36" s="43">
        <v>1035</v>
      </c>
      <c r="B36" s="44" t="s">
        <v>42</v>
      </c>
      <c r="C36" s="44" t="s">
        <v>43</v>
      </c>
      <c r="D36" s="45">
        <v>42000</v>
      </c>
      <c r="E36" s="45">
        <v>42000</v>
      </c>
      <c r="F36" s="45">
        <f>IF(ISBLANK(E36),AVERAGE($E$2:$E$41),E36)</f>
        <v>42000</v>
      </c>
      <c r="G36" s="45">
        <v>2</v>
      </c>
      <c r="H36" s="45">
        <v>0.15</v>
      </c>
      <c r="I36" s="44" t="s">
        <v>13</v>
      </c>
      <c r="J36" s="46" t="s">
        <v>10</v>
      </c>
    </row>
    <row r="37" spans="1:10" x14ac:dyDescent="0.3">
      <c r="A37" s="47">
        <v>1036</v>
      </c>
      <c r="B37" s="48" t="s">
        <v>42</v>
      </c>
      <c r="C37" s="48" t="s">
        <v>43</v>
      </c>
      <c r="D37" s="49">
        <v>42000</v>
      </c>
      <c r="E37" s="49">
        <v>42000</v>
      </c>
      <c r="F37" s="45">
        <f>IF(ISBLANK(E37),AVERAGE($E$2:$E$41),E37)</f>
        <v>42000</v>
      </c>
      <c r="G37" s="49">
        <v>2</v>
      </c>
      <c r="H37" s="49">
        <v>0.15</v>
      </c>
      <c r="I37" s="48" t="s">
        <v>13</v>
      </c>
      <c r="J37" s="50" t="s">
        <v>10</v>
      </c>
    </row>
    <row r="38" spans="1:10" x14ac:dyDescent="0.3">
      <c r="A38" s="43">
        <v>1037</v>
      </c>
      <c r="B38" s="44" t="s">
        <v>44</v>
      </c>
      <c r="C38" s="44" t="s">
        <v>71</v>
      </c>
      <c r="D38" s="45">
        <v>2000</v>
      </c>
      <c r="E38" s="45">
        <v>2000</v>
      </c>
      <c r="F38" s="45">
        <f>IF(ISBLANK(E38),AVERAGE($E$2:$E$41),E38)</f>
        <v>2000</v>
      </c>
      <c r="G38" s="45">
        <v>25</v>
      </c>
      <c r="H38" s="45">
        <v>0.05</v>
      </c>
      <c r="I38" s="44" t="s">
        <v>16</v>
      </c>
      <c r="J38" s="46" t="s">
        <v>10</v>
      </c>
    </row>
    <row r="39" spans="1:10" x14ac:dyDescent="0.3">
      <c r="A39" s="47">
        <v>1038</v>
      </c>
      <c r="B39" s="48" t="s">
        <v>44</v>
      </c>
      <c r="C39" s="48" t="s">
        <v>71</v>
      </c>
      <c r="D39" s="49">
        <v>2000</v>
      </c>
      <c r="E39" s="49">
        <v>2000</v>
      </c>
      <c r="F39" s="45">
        <f>IF(ISBLANK(E39),AVERAGE($E$2:$E$41),E39)</f>
        <v>2000</v>
      </c>
      <c r="G39" s="49">
        <v>25</v>
      </c>
      <c r="H39" s="49">
        <v>0.05</v>
      </c>
      <c r="I39" s="48" t="s">
        <v>16</v>
      </c>
      <c r="J39" s="50" t="s">
        <v>10</v>
      </c>
    </row>
    <row r="40" spans="1:10" x14ac:dyDescent="0.3">
      <c r="A40" s="43">
        <v>1039</v>
      </c>
      <c r="B40" s="44" t="s">
        <v>46</v>
      </c>
      <c r="C40" s="44" t="s">
        <v>47</v>
      </c>
      <c r="D40" s="45">
        <v>6500</v>
      </c>
      <c r="E40" s="45">
        <v>6500</v>
      </c>
      <c r="F40" s="45">
        <f>IF(ISBLANK(E40),AVERAGE($E$2:$E$41),E40)</f>
        <v>6500</v>
      </c>
      <c r="G40" s="45">
        <v>11</v>
      </c>
      <c r="H40" s="45">
        <v>0.08</v>
      </c>
      <c r="I40" s="44" t="s">
        <v>19</v>
      </c>
      <c r="J40" s="46" t="s">
        <v>10</v>
      </c>
    </row>
    <row r="41" spans="1:10" x14ac:dyDescent="0.3">
      <c r="A41" s="51">
        <v>1040</v>
      </c>
      <c r="B41" s="52" t="s">
        <v>46</v>
      </c>
      <c r="C41" s="52" t="s">
        <v>47</v>
      </c>
      <c r="D41" s="53">
        <v>6500</v>
      </c>
      <c r="E41" s="53">
        <v>6500</v>
      </c>
      <c r="F41" s="54">
        <f>IF(ISBLANK(E41),AVERAGE($E$2:$E$41),E41)</f>
        <v>6500</v>
      </c>
      <c r="G41" s="53">
        <v>11</v>
      </c>
      <c r="H41" s="53">
        <v>0.08</v>
      </c>
      <c r="I41" s="52" t="s">
        <v>19</v>
      </c>
      <c r="J41" s="55" t="s">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2ABE-2716-4A15-BF6E-A78BB3E445C3}">
  <dimension ref="A1:I42"/>
  <sheetViews>
    <sheetView topLeftCell="A4" workbookViewId="0">
      <selection activeCell="F4" sqref="F4"/>
    </sheetView>
  </sheetViews>
  <sheetFormatPr defaultColWidth="17.44140625" defaultRowHeight="14.4" x14ac:dyDescent="0.3"/>
  <cols>
    <col min="2" max="2" width="20.88671875" customWidth="1"/>
  </cols>
  <sheetData>
    <row r="1" spans="1:9" x14ac:dyDescent="0.3">
      <c r="A1" s="11" t="s">
        <v>0</v>
      </c>
      <c r="B1" s="12" t="s">
        <v>1</v>
      </c>
      <c r="C1" s="12" t="s">
        <v>2</v>
      </c>
      <c r="D1" s="12" t="s">
        <v>3</v>
      </c>
      <c r="E1" s="12" t="s">
        <v>76</v>
      </c>
      <c r="F1" s="12" t="s">
        <v>4</v>
      </c>
      <c r="G1" s="12" t="s">
        <v>5</v>
      </c>
      <c r="H1" s="12" t="s">
        <v>6</v>
      </c>
      <c r="I1" s="13" t="s">
        <v>7</v>
      </c>
    </row>
    <row r="2" spans="1:9" x14ac:dyDescent="0.3">
      <c r="A2" s="8">
        <v>1001</v>
      </c>
      <c r="B2" s="4" t="s">
        <v>8</v>
      </c>
      <c r="C2" s="4" t="s">
        <v>48</v>
      </c>
      <c r="D2" s="5">
        <v>75000</v>
      </c>
      <c r="E2" s="5">
        <v>75000</v>
      </c>
      <c r="F2" s="6">
        <v>5</v>
      </c>
      <c r="G2" s="7">
        <v>0.1</v>
      </c>
      <c r="H2" s="4" t="s">
        <v>9</v>
      </c>
      <c r="I2" s="9" t="s">
        <v>10</v>
      </c>
    </row>
    <row r="3" spans="1:9" x14ac:dyDescent="0.3">
      <c r="A3" s="8">
        <v>1002</v>
      </c>
      <c r="B3" s="4" t="s">
        <v>11</v>
      </c>
      <c r="C3" s="4" t="s">
        <v>49</v>
      </c>
      <c r="D3" s="4">
        <v>75000</v>
      </c>
      <c r="E3" s="4">
        <v>75000</v>
      </c>
      <c r="F3" s="4">
        <v>5</v>
      </c>
      <c r="G3" s="7">
        <v>0.1</v>
      </c>
      <c r="H3" s="4" t="s">
        <v>9</v>
      </c>
      <c r="I3" s="9" t="s">
        <v>10</v>
      </c>
    </row>
    <row r="4" spans="1:9" x14ac:dyDescent="0.3">
      <c r="A4" s="8">
        <v>1003</v>
      </c>
      <c r="B4" s="4" t="s">
        <v>12</v>
      </c>
      <c r="C4" s="4" t="s">
        <v>50</v>
      </c>
      <c r="D4" s="4">
        <v>12500</v>
      </c>
      <c r="E4" s="4">
        <v>12500</v>
      </c>
      <c r="F4" s="4">
        <v>10</v>
      </c>
      <c r="G4" s="7">
        <v>0.05</v>
      </c>
      <c r="H4" s="4" t="s">
        <v>13</v>
      </c>
      <c r="I4" s="9" t="s">
        <v>10</v>
      </c>
    </row>
    <row r="5" spans="1:9" x14ac:dyDescent="0.3">
      <c r="A5" s="8">
        <v>1004</v>
      </c>
      <c r="B5" s="4" t="s">
        <v>14</v>
      </c>
      <c r="C5" s="4" t="s">
        <v>50</v>
      </c>
      <c r="D5" s="4">
        <v>12500</v>
      </c>
      <c r="E5" s="4">
        <v>12500</v>
      </c>
      <c r="F5" s="4">
        <v>10</v>
      </c>
      <c r="G5" s="7">
        <v>0.05</v>
      </c>
      <c r="H5" s="4" t="s">
        <v>13</v>
      </c>
      <c r="I5" s="9" t="s">
        <v>10</v>
      </c>
    </row>
    <row r="6" spans="1:9" x14ac:dyDescent="0.3">
      <c r="A6" s="8">
        <v>1005</v>
      </c>
      <c r="B6" s="4" t="s">
        <v>15</v>
      </c>
      <c r="C6" s="4" t="s">
        <v>51</v>
      </c>
      <c r="D6" s="4">
        <v>1200</v>
      </c>
      <c r="E6" s="4">
        <v>1200</v>
      </c>
      <c r="F6" s="4">
        <v>20</v>
      </c>
      <c r="G6" s="7">
        <v>0.08</v>
      </c>
      <c r="H6" s="4" t="s">
        <v>16</v>
      </c>
      <c r="I6" s="9" t="s">
        <v>10</v>
      </c>
    </row>
    <row r="7" spans="1:9" x14ac:dyDescent="0.3">
      <c r="A7" s="8">
        <v>1006</v>
      </c>
      <c r="B7" s="4" t="s">
        <v>15</v>
      </c>
      <c r="C7" s="4" t="s">
        <v>52</v>
      </c>
      <c r="D7" s="4">
        <v>1200</v>
      </c>
      <c r="E7" s="4"/>
      <c r="F7" s="4">
        <v>20</v>
      </c>
      <c r="G7" s="7">
        <v>0.08</v>
      </c>
      <c r="H7" s="4" t="s">
        <v>16</v>
      </c>
      <c r="I7" s="9" t="s">
        <v>10</v>
      </c>
    </row>
    <row r="8" spans="1:9" x14ac:dyDescent="0.3">
      <c r="A8" s="8">
        <v>1007</v>
      </c>
      <c r="B8" s="4" t="s">
        <v>17</v>
      </c>
      <c r="C8" s="4" t="s">
        <v>18</v>
      </c>
      <c r="D8" s="4">
        <v>2500</v>
      </c>
      <c r="E8" s="4">
        <v>2500</v>
      </c>
      <c r="F8" s="4">
        <v>15</v>
      </c>
      <c r="G8" s="7">
        <v>0</v>
      </c>
      <c r="H8" s="4" t="s">
        <v>19</v>
      </c>
      <c r="I8" s="9" t="s">
        <v>10</v>
      </c>
    </row>
    <row r="9" spans="1:9" x14ac:dyDescent="0.3">
      <c r="A9" s="8">
        <v>1008</v>
      </c>
      <c r="B9" s="4" t="s">
        <v>17</v>
      </c>
      <c r="C9" s="4" t="s">
        <v>18</v>
      </c>
      <c r="D9" s="4">
        <v>2500</v>
      </c>
      <c r="E9" s="4">
        <v>2500</v>
      </c>
      <c r="F9" s="4">
        <v>15</v>
      </c>
      <c r="G9" s="7">
        <v>0</v>
      </c>
      <c r="H9" s="4" t="s">
        <v>19</v>
      </c>
      <c r="I9" s="9" t="s">
        <v>10</v>
      </c>
    </row>
    <row r="10" spans="1:9" x14ac:dyDescent="0.3">
      <c r="A10" s="8">
        <v>1009</v>
      </c>
      <c r="B10" s="4" t="s">
        <v>20</v>
      </c>
      <c r="C10" s="4" t="s">
        <v>59</v>
      </c>
      <c r="D10" s="4">
        <v>18000</v>
      </c>
      <c r="E10" s="4">
        <v>18000</v>
      </c>
      <c r="F10" s="4">
        <v>8</v>
      </c>
      <c r="G10" s="7">
        <v>0.12</v>
      </c>
      <c r="H10" s="4" t="s">
        <v>9</v>
      </c>
      <c r="I10" s="9" t="s">
        <v>10</v>
      </c>
    </row>
    <row r="11" spans="1:9" x14ac:dyDescent="0.3">
      <c r="A11" s="8">
        <v>1010</v>
      </c>
      <c r="B11" s="4" t="s">
        <v>20</v>
      </c>
      <c r="C11" s="4" t="s">
        <v>60</v>
      </c>
      <c r="D11" s="4">
        <v>18000</v>
      </c>
      <c r="E11" s="4">
        <v>18000</v>
      </c>
      <c r="F11" s="4">
        <v>8</v>
      </c>
      <c r="G11" s="7">
        <v>0.12</v>
      </c>
      <c r="H11" s="4" t="s">
        <v>9</v>
      </c>
      <c r="I11" s="9" t="s">
        <v>10</v>
      </c>
    </row>
    <row r="12" spans="1:9" x14ac:dyDescent="0.3">
      <c r="A12" s="8">
        <v>1011</v>
      </c>
      <c r="B12" s="4" t="s">
        <v>21</v>
      </c>
      <c r="C12" s="4" t="s">
        <v>22</v>
      </c>
      <c r="D12" s="4" t="s">
        <v>23</v>
      </c>
      <c r="E12" s="4" t="s">
        <v>23</v>
      </c>
      <c r="F12" s="4">
        <v>3</v>
      </c>
      <c r="G12" s="7">
        <v>0.15</v>
      </c>
      <c r="H12" s="4" t="s">
        <v>13</v>
      </c>
      <c r="I12" s="10" t="s">
        <v>10</v>
      </c>
    </row>
    <row r="13" spans="1:9" x14ac:dyDescent="0.3">
      <c r="A13" s="8">
        <v>1012</v>
      </c>
      <c r="B13" s="4" t="s">
        <v>21</v>
      </c>
      <c r="C13" s="4" t="s">
        <v>22</v>
      </c>
      <c r="D13" s="4">
        <v>22500</v>
      </c>
      <c r="E13" s="4">
        <v>22500</v>
      </c>
      <c r="F13" s="4">
        <v>3</v>
      </c>
      <c r="G13" s="7">
        <v>0.15</v>
      </c>
      <c r="H13" s="4" t="s">
        <v>13</v>
      </c>
      <c r="I13" s="10" t="s">
        <v>10</v>
      </c>
    </row>
    <row r="14" spans="1:9" x14ac:dyDescent="0.3">
      <c r="A14" s="8">
        <v>1013</v>
      </c>
      <c r="B14" s="4" t="s">
        <v>24</v>
      </c>
      <c r="C14" s="4" t="s">
        <v>53</v>
      </c>
      <c r="D14" s="4">
        <v>450</v>
      </c>
      <c r="E14" s="4">
        <v>450</v>
      </c>
      <c r="F14" s="4">
        <v>30</v>
      </c>
      <c r="G14" s="7">
        <v>0.05</v>
      </c>
      <c r="H14" s="4" t="s">
        <v>16</v>
      </c>
      <c r="I14" s="10" t="s">
        <v>10</v>
      </c>
    </row>
    <row r="15" spans="1:9" x14ac:dyDescent="0.3">
      <c r="A15" s="8">
        <v>1014</v>
      </c>
      <c r="B15" s="4" t="s">
        <v>24</v>
      </c>
      <c r="C15" s="4" t="s">
        <v>53</v>
      </c>
      <c r="D15" s="4">
        <v>450</v>
      </c>
      <c r="E15" s="4"/>
      <c r="F15" s="4">
        <v>30</v>
      </c>
      <c r="G15" s="7">
        <v>0.05</v>
      </c>
      <c r="H15" s="4" t="s">
        <v>16</v>
      </c>
      <c r="I15" s="10" t="s">
        <v>10</v>
      </c>
    </row>
    <row r="16" spans="1:9" x14ac:dyDescent="0.3">
      <c r="A16" s="8">
        <v>1015</v>
      </c>
      <c r="B16" s="4" t="s">
        <v>25</v>
      </c>
      <c r="C16" s="4" t="s">
        <v>54</v>
      </c>
      <c r="D16" s="4">
        <v>3500</v>
      </c>
      <c r="E16" s="4">
        <v>3500</v>
      </c>
      <c r="F16" s="4">
        <v>12</v>
      </c>
      <c r="G16" s="7">
        <v>0.1</v>
      </c>
      <c r="H16" s="4" t="s">
        <v>19</v>
      </c>
      <c r="I16" s="10" t="s">
        <v>10</v>
      </c>
    </row>
    <row r="17" spans="1:9" x14ac:dyDescent="0.3">
      <c r="A17" s="8">
        <v>1016</v>
      </c>
      <c r="B17" s="4" t="s">
        <v>25</v>
      </c>
      <c r="C17" s="4" t="s">
        <v>26</v>
      </c>
      <c r="D17" s="4">
        <v>3500</v>
      </c>
      <c r="E17" s="4">
        <v>3500</v>
      </c>
      <c r="F17" s="4">
        <v>12</v>
      </c>
      <c r="G17" s="7">
        <v>0.1</v>
      </c>
      <c r="H17" s="4" t="s">
        <v>19</v>
      </c>
      <c r="I17" s="10" t="s">
        <v>10</v>
      </c>
    </row>
    <row r="18" spans="1:9" x14ac:dyDescent="0.3">
      <c r="A18" s="8">
        <v>1017</v>
      </c>
      <c r="B18" s="4" t="s">
        <v>27</v>
      </c>
      <c r="C18" s="4" t="s">
        <v>28</v>
      </c>
      <c r="D18" s="6">
        <v>25000</v>
      </c>
      <c r="E18" s="4">
        <v>25000</v>
      </c>
      <c r="F18" s="4">
        <v>6</v>
      </c>
      <c r="G18" s="7">
        <v>0.2</v>
      </c>
      <c r="H18" s="4" t="s">
        <v>9</v>
      </c>
      <c r="I18" s="10" t="s">
        <v>10</v>
      </c>
    </row>
    <row r="19" spans="1:9" x14ac:dyDescent="0.3">
      <c r="A19" s="8">
        <v>1018</v>
      </c>
      <c r="B19" s="4" t="s">
        <v>27</v>
      </c>
      <c r="C19" s="4" t="s">
        <v>28</v>
      </c>
      <c r="D19" s="4">
        <v>25000</v>
      </c>
      <c r="E19" s="4">
        <v>25000</v>
      </c>
      <c r="F19" s="4">
        <v>6</v>
      </c>
      <c r="G19" s="7">
        <v>0.2</v>
      </c>
      <c r="H19" s="4" t="s">
        <v>9</v>
      </c>
      <c r="I19" s="10" t="s">
        <v>10</v>
      </c>
    </row>
    <row r="20" spans="1:9" x14ac:dyDescent="0.3">
      <c r="A20" s="8">
        <v>1019</v>
      </c>
      <c r="B20" s="4" t="s">
        <v>29</v>
      </c>
      <c r="C20" s="4" t="s">
        <v>30</v>
      </c>
      <c r="D20" s="4" t="s">
        <v>31</v>
      </c>
      <c r="E20" s="4" t="s">
        <v>31</v>
      </c>
      <c r="F20" s="4">
        <v>18</v>
      </c>
      <c r="G20" s="7">
        <v>7.0000000000000007E-2</v>
      </c>
      <c r="H20" s="4" t="s">
        <v>13</v>
      </c>
      <c r="I20" s="10" t="s">
        <v>10</v>
      </c>
    </row>
    <row r="21" spans="1:9" x14ac:dyDescent="0.3">
      <c r="A21" s="8">
        <v>1020</v>
      </c>
      <c r="B21" s="4" t="s">
        <v>29</v>
      </c>
      <c r="C21" s="4" t="s">
        <v>32</v>
      </c>
      <c r="D21" s="4">
        <v>4500</v>
      </c>
      <c r="E21" s="4">
        <v>4500</v>
      </c>
      <c r="F21" s="4">
        <v>18</v>
      </c>
      <c r="G21" s="7">
        <v>7.0000000000000007E-2</v>
      </c>
      <c r="H21" s="4" t="s">
        <v>13</v>
      </c>
      <c r="I21" s="10" t="s">
        <v>10</v>
      </c>
    </row>
    <row r="22" spans="1:9" x14ac:dyDescent="0.3">
      <c r="A22" s="8">
        <v>1021</v>
      </c>
      <c r="B22" s="4" t="s">
        <v>8</v>
      </c>
      <c r="C22" s="4" t="s">
        <v>55</v>
      </c>
      <c r="D22" s="4">
        <v>75000</v>
      </c>
      <c r="E22" s="4">
        <v>75000</v>
      </c>
      <c r="F22" s="4">
        <v>5</v>
      </c>
      <c r="G22" s="7">
        <v>0.1</v>
      </c>
      <c r="H22" s="4" t="s">
        <v>9</v>
      </c>
      <c r="I22" s="10" t="s">
        <v>33</v>
      </c>
    </row>
    <row r="23" spans="1:9" x14ac:dyDescent="0.3">
      <c r="A23" s="8">
        <v>1022</v>
      </c>
      <c r="B23" s="4" t="s">
        <v>15</v>
      </c>
      <c r="C23" s="4" t="s">
        <v>51</v>
      </c>
      <c r="D23" s="4">
        <v>1200</v>
      </c>
      <c r="E23" s="4">
        <v>1200</v>
      </c>
      <c r="F23" s="4">
        <v>20</v>
      </c>
      <c r="G23" s="7">
        <v>0.08</v>
      </c>
      <c r="H23" s="4" t="s">
        <v>16</v>
      </c>
      <c r="I23" s="10" t="s">
        <v>33</v>
      </c>
    </row>
    <row r="24" spans="1:9" x14ac:dyDescent="0.3">
      <c r="A24" s="8">
        <v>1023</v>
      </c>
      <c r="B24" s="4" t="s">
        <v>17</v>
      </c>
      <c r="C24" s="4" t="s">
        <v>18</v>
      </c>
      <c r="D24" s="5">
        <v>2500</v>
      </c>
      <c r="E24" s="4"/>
      <c r="F24" s="4">
        <v>15</v>
      </c>
      <c r="G24" s="7">
        <v>0</v>
      </c>
      <c r="H24" s="4" t="s">
        <v>19</v>
      </c>
      <c r="I24" s="10" t="s">
        <v>33</v>
      </c>
    </row>
    <row r="25" spans="1:9" x14ac:dyDescent="0.3">
      <c r="A25" s="8">
        <v>1024</v>
      </c>
      <c r="B25" s="4" t="s">
        <v>21</v>
      </c>
      <c r="C25" s="4" t="s">
        <v>22</v>
      </c>
      <c r="D25" s="4">
        <v>22500</v>
      </c>
      <c r="E25" s="4">
        <v>22500</v>
      </c>
      <c r="F25" s="4">
        <v>3</v>
      </c>
      <c r="G25" s="7">
        <v>0.15</v>
      </c>
      <c r="H25" s="4" t="s">
        <v>13</v>
      </c>
      <c r="I25" s="10" t="s">
        <v>33</v>
      </c>
    </row>
    <row r="26" spans="1:9" x14ac:dyDescent="0.3">
      <c r="A26" s="8">
        <v>1025</v>
      </c>
      <c r="B26" s="4" t="s">
        <v>34</v>
      </c>
      <c r="C26" s="4" t="s">
        <v>56</v>
      </c>
      <c r="D26" s="4">
        <v>85000</v>
      </c>
      <c r="E26" s="4">
        <v>85000</v>
      </c>
      <c r="F26" s="4">
        <v>4</v>
      </c>
      <c r="G26" s="7">
        <v>0.18</v>
      </c>
      <c r="H26" s="4" t="s">
        <v>9</v>
      </c>
      <c r="I26" s="10" t="s">
        <v>10</v>
      </c>
    </row>
    <row r="27" spans="1:9" x14ac:dyDescent="0.3">
      <c r="A27" s="8">
        <v>1026</v>
      </c>
      <c r="B27" s="4" t="s">
        <v>34</v>
      </c>
      <c r="C27" s="4" t="s">
        <v>56</v>
      </c>
      <c r="D27" s="4">
        <v>85000</v>
      </c>
      <c r="E27" s="4">
        <v>85000</v>
      </c>
      <c r="F27" s="4">
        <v>4</v>
      </c>
      <c r="G27" s="7">
        <v>0.18</v>
      </c>
      <c r="H27" s="4" t="s">
        <v>9</v>
      </c>
      <c r="I27" s="10" t="s">
        <v>10</v>
      </c>
    </row>
    <row r="28" spans="1:9" x14ac:dyDescent="0.3">
      <c r="A28" s="8">
        <v>1027</v>
      </c>
      <c r="B28" s="4" t="s">
        <v>35</v>
      </c>
      <c r="C28" s="4" t="s">
        <v>36</v>
      </c>
      <c r="D28" s="6">
        <v>15000</v>
      </c>
      <c r="E28" s="4">
        <v>15000</v>
      </c>
      <c r="F28" s="4">
        <v>7</v>
      </c>
      <c r="G28" s="7">
        <v>0.05</v>
      </c>
      <c r="H28" s="4" t="s">
        <v>13</v>
      </c>
      <c r="I28" s="10" t="s">
        <v>10</v>
      </c>
    </row>
    <row r="29" spans="1:9" x14ac:dyDescent="0.3">
      <c r="A29" s="8">
        <v>1028</v>
      </c>
      <c r="B29" s="4" t="s">
        <v>35</v>
      </c>
      <c r="C29" s="4" t="s">
        <v>36</v>
      </c>
      <c r="D29" s="4">
        <v>15000</v>
      </c>
      <c r="E29" s="4">
        <v>15000</v>
      </c>
      <c r="F29" s="4">
        <v>7</v>
      </c>
      <c r="G29" s="7">
        <v>0.05</v>
      </c>
      <c r="H29" s="4" t="s">
        <v>13</v>
      </c>
      <c r="I29" s="10" t="s">
        <v>10</v>
      </c>
    </row>
    <row r="30" spans="1:9" x14ac:dyDescent="0.3">
      <c r="A30" s="8">
        <v>1029</v>
      </c>
      <c r="B30" s="4" t="s">
        <v>37</v>
      </c>
      <c r="C30" s="4" t="s">
        <v>57</v>
      </c>
      <c r="D30" s="4" t="s">
        <v>38</v>
      </c>
      <c r="E30" s="4" t="s">
        <v>38</v>
      </c>
      <c r="F30" s="4">
        <v>9</v>
      </c>
      <c r="G30" s="7">
        <v>0.1</v>
      </c>
      <c r="H30" s="4" t="s">
        <v>16</v>
      </c>
      <c r="I30" s="10" t="s">
        <v>10</v>
      </c>
    </row>
    <row r="31" spans="1:9" x14ac:dyDescent="0.3">
      <c r="A31" s="8">
        <v>1030</v>
      </c>
      <c r="B31" s="4" t="s">
        <v>37</v>
      </c>
      <c r="C31" s="4" t="s">
        <v>57</v>
      </c>
      <c r="D31" s="4"/>
      <c r="E31" s="4"/>
      <c r="F31" s="4">
        <v>9</v>
      </c>
      <c r="G31" s="7">
        <v>0.1</v>
      </c>
      <c r="H31" s="4" t="s">
        <v>16</v>
      </c>
      <c r="I31" s="10" t="s">
        <v>10</v>
      </c>
    </row>
    <row r="32" spans="1:9" x14ac:dyDescent="0.3">
      <c r="A32" s="8">
        <v>1031</v>
      </c>
      <c r="B32" s="4" t="s">
        <v>39</v>
      </c>
      <c r="C32" s="4" t="s">
        <v>58</v>
      </c>
      <c r="D32" s="4">
        <v>20000</v>
      </c>
      <c r="E32" s="4">
        <v>20000</v>
      </c>
      <c r="F32" s="4">
        <v>4</v>
      </c>
      <c r="G32" s="7">
        <v>0.06</v>
      </c>
      <c r="H32" s="4" t="s">
        <v>19</v>
      </c>
      <c r="I32" s="10" t="s">
        <v>10</v>
      </c>
    </row>
    <row r="33" spans="1:9" x14ac:dyDescent="0.3">
      <c r="A33" s="8">
        <v>1032</v>
      </c>
      <c r="B33" s="4" t="s">
        <v>39</v>
      </c>
      <c r="C33" s="4" t="s">
        <v>58</v>
      </c>
      <c r="D33" s="4">
        <v>20000</v>
      </c>
      <c r="E33" s="4">
        <v>20000</v>
      </c>
      <c r="F33" s="4">
        <v>4</v>
      </c>
      <c r="G33" s="7">
        <v>0.06</v>
      </c>
      <c r="H33" s="4" t="s">
        <v>19</v>
      </c>
      <c r="I33" s="10" t="s">
        <v>10</v>
      </c>
    </row>
    <row r="34" spans="1:9" x14ac:dyDescent="0.3">
      <c r="A34" s="8">
        <v>1033</v>
      </c>
      <c r="B34" s="4" t="s">
        <v>40</v>
      </c>
      <c r="C34" s="4" t="s">
        <v>41</v>
      </c>
      <c r="D34" s="6">
        <v>35000</v>
      </c>
      <c r="E34" s="4">
        <v>35000</v>
      </c>
      <c r="F34" s="4">
        <v>5</v>
      </c>
      <c r="G34" s="7">
        <v>0.12</v>
      </c>
      <c r="H34" s="4" t="s">
        <v>9</v>
      </c>
      <c r="I34" s="10" t="s">
        <v>10</v>
      </c>
    </row>
    <row r="35" spans="1:9" x14ac:dyDescent="0.3">
      <c r="A35" s="8">
        <v>1034</v>
      </c>
      <c r="B35" s="4" t="s">
        <v>40</v>
      </c>
      <c r="C35" s="4" t="s">
        <v>41</v>
      </c>
      <c r="D35" s="4">
        <v>35000</v>
      </c>
      <c r="E35" s="4">
        <v>35000</v>
      </c>
      <c r="F35" s="4">
        <v>5</v>
      </c>
      <c r="G35" s="7">
        <v>0.12</v>
      </c>
      <c r="H35" s="4" t="s">
        <v>9</v>
      </c>
      <c r="I35" s="10" t="s">
        <v>10</v>
      </c>
    </row>
    <row r="36" spans="1:9" x14ac:dyDescent="0.3">
      <c r="A36" s="8">
        <v>1035</v>
      </c>
      <c r="B36" s="4" t="s">
        <v>42</v>
      </c>
      <c r="C36" s="4" t="s">
        <v>43</v>
      </c>
      <c r="D36" s="6">
        <v>42000</v>
      </c>
      <c r="E36" s="4">
        <v>42000</v>
      </c>
      <c r="F36" s="4">
        <v>2</v>
      </c>
      <c r="G36" s="7">
        <v>0.15</v>
      </c>
      <c r="H36" s="4" t="s">
        <v>13</v>
      </c>
      <c r="I36" s="10" t="s">
        <v>10</v>
      </c>
    </row>
    <row r="37" spans="1:9" x14ac:dyDescent="0.3">
      <c r="A37" s="8">
        <v>1036</v>
      </c>
      <c r="B37" s="4" t="s">
        <v>42</v>
      </c>
      <c r="C37" s="4" t="s">
        <v>43</v>
      </c>
      <c r="D37" s="4">
        <v>42000</v>
      </c>
      <c r="E37" s="4">
        <v>42000</v>
      </c>
      <c r="F37" s="4">
        <v>2</v>
      </c>
      <c r="G37" s="7">
        <v>0.15</v>
      </c>
      <c r="H37" s="4" t="s">
        <v>13</v>
      </c>
      <c r="I37" s="10" t="s">
        <v>10</v>
      </c>
    </row>
    <row r="38" spans="1:9" x14ac:dyDescent="0.3">
      <c r="A38" s="8">
        <v>1037</v>
      </c>
      <c r="B38" s="4" t="s">
        <v>44</v>
      </c>
      <c r="C38" s="4" t="s">
        <v>45</v>
      </c>
      <c r="D38" s="6" t="s">
        <v>72</v>
      </c>
      <c r="E38" s="4" t="s">
        <v>72</v>
      </c>
      <c r="F38" s="4">
        <v>25</v>
      </c>
      <c r="G38" s="7">
        <v>0.05</v>
      </c>
      <c r="H38" s="4" t="s">
        <v>16</v>
      </c>
      <c r="I38" s="10" t="s">
        <v>10</v>
      </c>
    </row>
    <row r="39" spans="1:9" x14ac:dyDescent="0.3">
      <c r="A39" s="8">
        <v>1038</v>
      </c>
      <c r="B39" s="4" t="s">
        <v>44</v>
      </c>
      <c r="C39" s="4" t="s">
        <v>45</v>
      </c>
      <c r="D39" s="4">
        <v>2000</v>
      </c>
      <c r="E39" s="4">
        <v>2000</v>
      </c>
      <c r="F39" s="4">
        <v>25</v>
      </c>
      <c r="G39" s="7">
        <v>0.05</v>
      </c>
      <c r="H39" s="4" t="s">
        <v>16</v>
      </c>
      <c r="I39" s="10" t="s">
        <v>10</v>
      </c>
    </row>
    <row r="40" spans="1:9" x14ac:dyDescent="0.3">
      <c r="A40" s="8">
        <v>1039</v>
      </c>
      <c r="B40" s="4" t="s">
        <v>46</v>
      </c>
      <c r="C40" s="4" t="s">
        <v>47</v>
      </c>
      <c r="D40" s="6">
        <v>6500</v>
      </c>
      <c r="E40" s="4">
        <v>6500</v>
      </c>
      <c r="F40" s="4">
        <v>11</v>
      </c>
      <c r="G40" s="7">
        <v>0.08</v>
      </c>
      <c r="H40" s="4" t="s">
        <v>19</v>
      </c>
      <c r="I40" s="10" t="s">
        <v>10</v>
      </c>
    </row>
    <row r="41" spans="1:9" x14ac:dyDescent="0.3">
      <c r="A41" s="8">
        <v>1040</v>
      </c>
      <c r="B41" s="4" t="s">
        <v>46</v>
      </c>
      <c r="C41" s="4" t="s">
        <v>47</v>
      </c>
      <c r="D41" s="4" t="s">
        <v>73</v>
      </c>
      <c r="E41" s="4" t="s">
        <v>73</v>
      </c>
      <c r="F41" s="4">
        <v>11</v>
      </c>
      <c r="G41" s="7">
        <v>0.08</v>
      </c>
      <c r="H41" s="4" t="s">
        <v>19</v>
      </c>
      <c r="I41" s="10" t="s">
        <v>10</v>
      </c>
    </row>
    <row r="42" spans="1:9" x14ac:dyDescent="0.3">
      <c r="A42" s="14">
        <v>1039</v>
      </c>
      <c r="B42" s="15" t="s">
        <v>46</v>
      </c>
      <c r="C42" s="15" t="s">
        <v>47</v>
      </c>
      <c r="D42" s="16">
        <v>6500</v>
      </c>
      <c r="E42" s="15">
        <v>6500</v>
      </c>
      <c r="F42" s="15">
        <v>11</v>
      </c>
      <c r="G42" s="17">
        <v>0.08</v>
      </c>
      <c r="H42" s="15" t="s">
        <v>19</v>
      </c>
      <c r="I42" s="18"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3CF64C-78BD-4D9C-9BF5-8C97A05E84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solutions</vt:lpstr>
      <vt:lpstr>Final data</vt:lpstr>
      <vt:lpstr>Inconsistent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jannathulroohe66@gmail.com</dc:creator>
  <cp:lastModifiedBy>jannathulroohe66@gmail.com</cp:lastModifiedBy>
  <dcterms:created xsi:type="dcterms:W3CDTF">2026-09-28T13:56:07Z</dcterms:created>
  <dcterms:modified xsi:type="dcterms:W3CDTF">2026-09-28T17:48:36Z</dcterms:modified>
</cp:coreProperties>
</file>